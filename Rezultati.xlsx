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lexv\Desktop\"/>
    </mc:Choice>
  </mc:AlternateContent>
  <xr:revisionPtr revIDLastSave="0" documentId="13_ncr:1_{1088641D-D1FF-44A7-8680-318180C31412}" xr6:coauthVersionLast="47" xr6:coauthVersionMax="47" xr10:uidLastSave="{00000000-0000-0000-0000-000000000000}"/>
  <bookViews>
    <workbookView xWindow="14295" yWindow="0" windowWidth="14610" windowHeight="15585" xr2:uid="{12863E91-391B-4414-A234-FF6C30D52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" l="1"/>
  <c r="D104" i="1"/>
  <c r="D103" i="1"/>
  <c r="D102" i="1"/>
  <c r="D101" i="1"/>
  <c r="E101" i="1" s="1"/>
  <c r="D100" i="1"/>
  <c r="D99" i="1"/>
  <c r="D98" i="1"/>
  <c r="D97" i="1"/>
  <c r="D96" i="1"/>
  <c r="E96" i="1" s="1"/>
  <c r="D95" i="1"/>
  <c r="D94" i="1"/>
  <c r="D93" i="1"/>
  <c r="D92" i="1"/>
  <c r="D91" i="1"/>
  <c r="D90" i="1"/>
  <c r="D89" i="1"/>
  <c r="D88" i="1"/>
  <c r="D87" i="1"/>
  <c r="D86" i="1"/>
  <c r="E86" i="1" s="1"/>
  <c r="D110" i="1"/>
  <c r="D109" i="1"/>
  <c r="D108" i="1"/>
  <c r="D107" i="1"/>
  <c r="D106" i="1"/>
  <c r="E106" i="1" s="1"/>
  <c r="C110" i="1"/>
  <c r="E110" i="1" s="1"/>
  <c r="C109" i="1"/>
  <c r="C108" i="1"/>
  <c r="C107" i="1"/>
  <c r="I81" i="1"/>
  <c r="I80" i="1"/>
  <c r="C105" i="1"/>
  <c r="C104" i="1"/>
  <c r="E104" i="1" s="1"/>
  <c r="C103" i="1"/>
  <c r="E103" i="1" s="1"/>
  <c r="C102" i="1"/>
  <c r="E102" i="1" s="1"/>
  <c r="I79" i="1"/>
  <c r="C100" i="1"/>
  <c r="E100" i="1" s="1"/>
  <c r="C99" i="1"/>
  <c r="E99" i="1" s="1"/>
  <c r="C98" i="1"/>
  <c r="C97" i="1"/>
  <c r="E97" i="1" s="1"/>
  <c r="C95" i="1"/>
  <c r="C94" i="1"/>
  <c r="C93" i="1"/>
  <c r="C92" i="1"/>
  <c r="E91" i="1"/>
  <c r="C90" i="1"/>
  <c r="E90" i="1" s="1"/>
  <c r="C89" i="1"/>
  <c r="E89" i="1" s="1"/>
  <c r="C88" i="1"/>
  <c r="E88" i="1" s="1"/>
  <c r="C87" i="1"/>
  <c r="I78" i="1"/>
  <c r="I77" i="1"/>
  <c r="K66" i="1"/>
  <c r="K65" i="1"/>
  <c r="K64" i="1"/>
  <c r="K63" i="1"/>
  <c r="K62" i="1"/>
  <c r="L62" i="1" s="1"/>
  <c r="K61" i="1"/>
  <c r="K60" i="1"/>
  <c r="K59" i="1"/>
  <c r="K58" i="1"/>
  <c r="K57" i="1"/>
  <c r="L57" i="1" s="1"/>
  <c r="K56" i="1"/>
  <c r="K55" i="1"/>
  <c r="K54" i="1"/>
  <c r="K53" i="1"/>
  <c r="K52" i="1"/>
  <c r="J66" i="1"/>
  <c r="J65" i="1"/>
  <c r="J64" i="1"/>
  <c r="J63" i="1"/>
  <c r="J61" i="1"/>
  <c r="J60" i="1"/>
  <c r="J59" i="1"/>
  <c r="J58" i="1"/>
  <c r="J56" i="1"/>
  <c r="J55" i="1"/>
  <c r="J54" i="1"/>
  <c r="L54" i="1" s="1"/>
  <c r="J53" i="1"/>
  <c r="L52" i="1"/>
  <c r="D66" i="1"/>
  <c r="D65" i="1"/>
  <c r="D64" i="1"/>
  <c r="D63" i="1"/>
  <c r="D62" i="1"/>
  <c r="E62" i="1" s="1"/>
  <c r="C66" i="1"/>
  <c r="C65" i="1"/>
  <c r="C64" i="1"/>
  <c r="C63" i="1"/>
  <c r="D61" i="1"/>
  <c r="D60" i="1"/>
  <c r="D59" i="1"/>
  <c r="D58" i="1"/>
  <c r="D57" i="1"/>
  <c r="E57" i="1" s="1"/>
  <c r="C61" i="1"/>
  <c r="C60" i="1"/>
  <c r="C59" i="1"/>
  <c r="C58" i="1"/>
  <c r="C53" i="1"/>
  <c r="D53" i="1"/>
  <c r="D56" i="1"/>
  <c r="C56" i="1"/>
  <c r="C55" i="1"/>
  <c r="D55" i="1"/>
  <c r="E55" i="1" s="1"/>
  <c r="D54" i="1"/>
  <c r="C54" i="1"/>
  <c r="D52" i="1"/>
  <c r="E52" i="1" s="1"/>
  <c r="I16" i="1"/>
  <c r="I18" i="1"/>
  <c r="I20" i="1"/>
  <c r="I24" i="1"/>
  <c r="I22" i="1"/>
  <c r="I2" i="1"/>
  <c r="M16" i="1"/>
  <c r="I26" i="1"/>
  <c r="M26" i="1"/>
  <c r="M24" i="1"/>
  <c r="M22" i="1"/>
  <c r="M20" i="1"/>
  <c r="M18" i="1"/>
  <c r="I25" i="1"/>
  <c r="I13" i="1"/>
  <c r="I12" i="1"/>
  <c r="M12" i="1"/>
  <c r="M13" i="1"/>
  <c r="M25" i="1"/>
  <c r="I23" i="1"/>
  <c r="I11" i="1"/>
  <c r="M23" i="1"/>
  <c r="M11" i="1"/>
  <c r="I10" i="1"/>
  <c r="M10" i="1"/>
  <c r="I21" i="1"/>
  <c r="M21" i="1"/>
  <c r="M9" i="1"/>
  <c r="I9" i="1"/>
  <c r="I8" i="1"/>
  <c r="M8" i="1"/>
  <c r="I19" i="1"/>
  <c r="I7" i="1"/>
  <c r="M19" i="1"/>
  <c r="I6" i="1"/>
  <c r="M7" i="1"/>
  <c r="M6" i="1"/>
  <c r="I17" i="1"/>
  <c r="M17" i="1"/>
  <c r="I5" i="1"/>
  <c r="M5" i="1"/>
  <c r="I4" i="1"/>
  <c r="M4" i="1"/>
  <c r="I15" i="1"/>
  <c r="M15" i="1"/>
  <c r="I3" i="1"/>
  <c r="M3" i="1"/>
  <c r="M2" i="1"/>
  <c r="I76" i="1"/>
  <c r="I75" i="1"/>
  <c r="M78" i="1"/>
  <c r="M77" i="1"/>
  <c r="M75" i="1"/>
  <c r="E105" i="1" l="1"/>
  <c r="E98" i="1"/>
  <c r="E95" i="1"/>
  <c r="E94" i="1"/>
  <c r="E93" i="1"/>
  <c r="E92" i="1"/>
  <c r="E87" i="1"/>
  <c r="E109" i="1"/>
  <c r="E108" i="1"/>
  <c r="E107" i="1"/>
  <c r="E63" i="1"/>
  <c r="L60" i="1"/>
  <c r="L53" i="1"/>
  <c r="L65" i="1"/>
  <c r="L66" i="1"/>
  <c r="L61" i="1"/>
  <c r="L63" i="1"/>
  <c r="L58" i="1"/>
  <c r="E66" i="1"/>
  <c r="L55" i="1"/>
  <c r="E54" i="1"/>
  <c r="E65" i="1"/>
  <c r="E59" i="1"/>
  <c r="E60" i="1"/>
  <c r="E56" i="1"/>
  <c r="E61" i="1"/>
  <c r="F101" i="1"/>
  <c r="F91" i="1"/>
  <c r="L64" i="1"/>
  <c r="E58" i="1"/>
  <c r="L59" i="1"/>
  <c r="M57" i="1" s="1"/>
  <c r="L56" i="1"/>
  <c r="E53" i="1"/>
  <c r="E64" i="1"/>
  <c r="F96" i="1"/>
  <c r="F86" i="1"/>
  <c r="F106" i="1" l="1"/>
  <c r="F62" i="1"/>
  <c r="M52" i="1"/>
  <c r="M62" i="1"/>
  <c r="F52" i="1"/>
  <c r="F57" i="1"/>
</calcChain>
</file>

<file path=xl/sharedStrings.xml><?xml version="1.0" encoding="utf-8"?>
<sst xmlns="http://schemas.openxmlformats.org/spreadsheetml/2006/main" count="297" uniqueCount="119">
  <si>
    <t>YOLO modelis</t>
  </si>
  <si>
    <t>Apmacīšanas laiks</t>
  </si>
  <si>
    <t>P (prediction)</t>
  </si>
  <si>
    <t>R (recall)</t>
  </si>
  <si>
    <t>mAP50</t>
  </si>
  <si>
    <t>mAP50-95</t>
  </si>
  <si>
    <t xml:space="preserve">Total image count </t>
  </si>
  <si>
    <t>Classes count</t>
  </si>
  <si>
    <t>IMG SIZE</t>
  </si>
  <si>
    <t>training number</t>
  </si>
  <si>
    <t>Weigts size (MB)</t>
  </si>
  <si>
    <t>Parametrs</t>
  </si>
  <si>
    <t>YOLOv12n</t>
  </si>
  <si>
    <t>YOLOv12s</t>
  </si>
  <si>
    <t>YOLOv9t</t>
  </si>
  <si>
    <t>YOLOv9s</t>
  </si>
  <si>
    <t>GTSRB</t>
  </si>
  <si>
    <t>dažādi</t>
  </si>
  <si>
    <t xml:space="preserve">https://www.kaggle.com/datasets/doganozcan/traffic-sign-gtrb </t>
  </si>
  <si>
    <t>GTSDB</t>
  </si>
  <si>
    <t>416x416</t>
  </si>
  <si>
    <t xml:space="preserve">https://universe.roboflow.com/mohamed-traore-2ekkp/gtsdb---german-traffic-sign-detection-benchmark </t>
  </si>
  <si>
    <t xml:space="preserve">https://www.kaggle.com/datasets/pkdarabi/cardetection </t>
  </si>
  <si>
    <t>Road Sign Detection (Kaggle)</t>
  </si>
  <si>
    <t>640x640</t>
  </si>
  <si>
    <t xml:space="preserve">https://universe.roboflow.com/radu-oprea-r4xnm/traffic-signs-detection-europe </t>
  </si>
  <si>
    <t>Izveidota datu kopa</t>
  </si>
  <si>
    <t>Datu Kopa</t>
  </si>
  <si>
    <t>Optimizer</t>
  </si>
  <si>
    <t>Auto</t>
  </si>
  <si>
    <t>Opt.name</t>
  </si>
  <si>
    <t>AdamW</t>
  </si>
  <si>
    <t>train</t>
  </si>
  <si>
    <t>train 2</t>
  </si>
  <si>
    <t>Epochs</t>
  </si>
  <si>
    <t>Avarage</t>
  </si>
  <si>
    <t>train 3</t>
  </si>
  <si>
    <t>train 4</t>
  </si>
  <si>
    <t>train 5</t>
  </si>
  <si>
    <t>train 6</t>
  </si>
  <si>
    <t>train 7</t>
  </si>
  <si>
    <t>train 8</t>
  </si>
  <si>
    <t>train 9</t>
  </si>
  <si>
    <t>train 10</t>
  </si>
  <si>
    <t>train 11</t>
  </si>
  <si>
    <t>train 12</t>
  </si>
  <si>
    <t>train 13</t>
  </si>
  <si>
    <t>train 14</t>
  </si>
  <si>
    <t>train 15</t>
  </si>
  <si>
    <t>train 16</t>
  </si>
  <si>
    <t>train 17</t>
  </si>
  <si>
    <t>train 18</t>
  </si>
  <si>
    <t>train 19</t>
  </si>
  <si>
    <t>train 20</t>
  </si>
  <si>
    <t>train 21</t>
  </si>
  <si>
    <t>train 22</t>
  </si>
  <si>
    <t>train 23</t>
  </si>
  <si>
    <t>train 24</t>
  </si>
  <si>
    <t>YOLOv12n (640)</t>
  </si>
  <si>
    <t>YOLOv12n (800)</t>
  </si>
  <si>
    <t>YOLOv11n (640)</t>
  </si>
  <si>
    <t>YOLOv11n (800)</t>
  </si>
  <si>
    <t>YOLOv10n (640)</t>
  </si>
  <si>
    <t>YOLOv10n (800)</t>
  </si>
  <si>
    <t>YOLOv9t (640)</t>
  </si>
  <si>
    <t>YOLOv9t (800)</t>
  </si>
  <si>
    <t>YOLOv8n (640)</t>
  </si>
  <si>
    <t>YOLOv8n (800)</t>
  </si>
  <si>
    <t>YOLOv5n (640)</t>
  </si>
  <si>
    <t>YOLOv5n (800)</t>
  </si>
  <si>
    <t>YOLOv12s (640)</t>
  </si>
  <si>
    <t>YOLOv11s (640)</t>
  </si>
  <si>
    <t>YOLOv10s (640)</t>
  </si>
  <si>
    <t>YOLOv9s (640)</t>
  </si>
  <si>
    <t>YOLOv8s (640)</t>
  </si>
  <si>
    <t>YOLOv5s (640)</t>
  </si>
  <si>
    <t>YOLOv5s (800)</t>
  </si>
  <si>
    <t>YOLOv8s (800)</t>
  </si>
  <si>
    <t>YOLOv9s (800)</t>
  </si>
  <si>
    <t>YOLOv10s (800)</t>
  </si>
  <si>
    <t>YOLOv11s (800)</t>
  </si>
  <si>
    <t>YOLOv12s (800)</t>
  </si>
  <si>
    <t>6 (batch = 8)</t>
  </si>
  <si>
    <t>GPU_MEM (batch 16)</t>
  </si>
  <si>
    <t>Video fragmenti tiek ņemti no šiem autoriem:</t>
  </si>
  <si>
    <t xml:space="preserve">https://www.youtube.com/watch?v=qOm3T4cyUZI&amp;ab_channel=LatvianFamilyVlog </t>
  </si>
  <si>
    <t xml:space="preserve">https://www.youtube.com/watch?v=grGtVSYD2a4&amp;ab_channel=A%26MWanderingaround </t>
  </si>
  <si>
    <t xml:space="preserve">https://www.youtube.com/watch?v=SRx_kcZT_rE&amp;ab_channel=LatvianFamilyVlog </t>
  </si>
  <si>
    <t>Izvelētais modelis</t>
  </si>
  <si>
    <t>Testešanas video</t>
  </si>
  <si>
    <t>Kopējais iespējamais ceļa zīmju skaits</t>
  </si>
  <si>
    <t xml:space="preserve">Modeļa atpazīsts ceļa zīmju skaits </t>
  </si>
  <si>
    <t>Precizitāte (%)</t>
  </si>
  <si>
    <t>Test1</t>
  </si>
  <si>
    <t>Test2</t>
  </si>
  <si>
    <t>Test3</t>
  </si>
  <si>
    <t>Test4</t>
  </si>
  <si>
    <t>Test5</t>
  </si>
  <si>
    <t>Vidēja precizitāte (%)</t>
  </si>
  <si>
    <t>YOLOv11n</t>
  </si>
  <si>
    <t>YOLOv11s</t>
  </si>
  <si>
    <t>-</t>
  </si>
  <si>
    <t>train 25</t>
  </si>
  <si>
    <t>Link</t>
  </si>
  <si>
    <t>train 26</t>
  </si>
  <si>
    <t>train 27</t>
  </si>
  <si>
    <t>train 28</t>
  </si>
  <si>
    <t>train 29</t>
  </si>
  <si>
    <t>Road Sign Detection</t>
  </si>
  <si>
    <t xml:space="preserve">Traffic Signs Detection Europe </t>
  </si>
  <si>
    <t>Traffic-Sign-Localization-Detection</t>
  </si>
  <si>
    <t xml:space="preserve">Traffic Signs Detection Europe  </t>
  </si>
  <si>
    <t>Traffic sign Detection-YOLOV5</t>
  </si>
  <si>
    <t xml:space="preserve">https://universe.roboflow.com/customdata-h6ymq/traffic-sign-detection-yolov5-o2l9p </t>
  </si>
  <si>
    <t xml:space="preserve">https://www.kaggle.com/datasets/ahemateja19bec1025/trafficsignlocalizationdetectionyoloannotated/data  </t>
  </si>
  <si>
    <t>TT100K</t>
  </si>
  <si>
    <t>2048x2048</t>
  </si>
  <si>
    <t>train 30</t>
  </si>
  <si>
    <t xml:space="preserve">https://www.kaggle.com/datasets/braunge/tt100k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</si>
</sst>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11" borderId="1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</cellStyleXfs>
  <cellXfs count="41">
    <xf numFmtId="0" fontId="0" fillId="0" borderId="0" xfId="0"/>
    <xf numFmtId="20" fontId="0" fillId="0" borderId="0" xfId="0" applyNumberFormat="1"/>
    <xf numFmtId="0" fontId="4" fillId="4" borderId="0" xfId="3"/>
    <xf numFmtId="0" fontId="2" fillId="2" borderId="0" xfId="1"/>
    <xf numFmtId="0" fontId="5" fillId="7" borderId="0" xfId="6"/>
    <xf numFmtId="0" fontId="5" fillId="8" borderId="0" xfId="7"/>
    <xf numFmtId="0" fontId="5" fillId="9" borderId="0" xfId="8"/>
    <xf numFmtId="0" fontId="5" fillId="10" borderId="0" xfId="9"/>
    <xf numFmtId="0" fontId="5" fillId="5" borderId="0" xfId="4"/>
    <xf numFmtId="0" fontId="1" fillId="6" borderId="0" xfId="5"/>
    <xf numFmtId="0" fontId="3" fillId="3" borderId="0" xfId="2"/>
    <xf numFmtId="0" fontId="6" fillId="0" borderId="0" xfId="10"/>
    <xf numFmtId="0" fontId="0" fillId="11" borderId="1" xfId="11" applyFont="1"/>
    <xf numFmtId="3" fontId="0" fillId="0" borderId="0" xfId="0" applyNumberFormat="1"/>
    <xf numFmtId="0" fontId="0" fillId="13" borderId="0" xfId="13" applyFont="1"/>
    <xf numFmtId="0" fontId="1" fillId="14" borderId="0" xfId="14"/>
    <xf numFmtId="0" fontId="1" fillId="16" borderId="0" xfId="16"/>
    <xf numFmtId="0" fontId="1" fillId="17" borderId="0" xfId="17"/>
    <xf numFmtId="3" fontId="1" fillId="18" borderId="0" xfId="18" applyNumberFormat="1"/>
    <xf numFmtId="0" fontId="0" fillId="15" borderId="0" xfId="15" applyFont="1"/>
    <xf numFmtId="0" fontId="0" fillId="14" borderId="0" xfId="14" applyFont="1"/>
    <xf numFmtId="0" fontId="0" fillId="19" borderId="0" xfId="19" applyFont="1"/>
    <xf numFmtId="0" fontId="1" fillId="22" borderId="0" xfId="22"/>
    <xf numFmtId="0" fontId="1" fillId="13" borderId="0" xfId="13"/>
    <xf numFmtId="0" fontId="1" fillId="23" borderId="0" xfId="23"/>
    <xf numFmtId="0" fontId="0" fillId="23" borderId="0" xfId="23" applyFont="1"/>
    <xf numFmtId="0" fontId="0" fillId="0" borderId="0" xfId="0" applyAlignment="1">
      <alignment vertical="center"/>
    </xf>
    <xf numFmtId="0" fontId="8" fillId="0" borderId="0" xfId="10" applyFont="1"/>
    <xf numFmtId="0" fontId="1" fillId="23" borderId="0" xfId="23" applyAlignment="1">
      <alignment horizontal="center" vertical="center"/>
    </xf>
    <xf numFmtId="0" fontId="1" fillId="21" borderId="0" xfId="21" applyAlignment="1">
      <alignment horizontal="center" vertical="center"/>
    </xf>
    <xf numFmtId="0" fontId="2" fillId="2" borderId="0" xfId="1" applyAlignment="1">
      <alignment horizontal="center" vertical="center"/>
    </xf>
    <xf numFmtId="0" fontId="1" fillId="20" borderId="0" xfId="20" applyAlignment="1">
      <alignment horizontal="center" vertical="center"/>
    </xf>
    <xf numFmtId="0" fontId="3" fillId="3" borderId="0" xfId="2" applyAlignment="1">
      <alignment horizontal="center" vertical="center"/>
    </xf>
    <xf numFmtId="0" fontId="0" fillId="15" borderId="0" xfId="15" applyFont="1" applyAlignment="1">
      <alignment horizontal="center" vertical="center"/>
    </xf>
    <xf numFmtId="0" fontId="1" fillId="15" borderId="0" xfId="15" applyAlignment="1">
      <alignment horizontal="center" vertical="center"/>
    </xf>
    <xf numFmtId="0" fontId="0" fillId="12" borderId="0" xfId="12" applyFont="1" applyAlignment="1">
      <alignment horizontal="center" vertical="center"/>
    </xf>
    <xf numFmtId="0" fontId="1" fillId="12" borderId="0" xfId="12" applyAlignment="1">
      <alignment horizontal="center" vertical="center"/>
    </xf>
    <xf numFmtId="0" fontId="0" fillId="16" borderId="0" xfId="16" applyFont="1" applyAlignment="1">
      <alignment horizontal="center" vertical="center"/>
    </xf>
    <xf numFmtId="0" fontId="1" fillId="16" borderId="0" xfId="16" applyAlignment="1">
      <alignment horizontal="center" vertical="center"/>
    </xf>
    <xf numFmtId="0" fontId="4" fillId="4" borderId="0" xfId="3" applyAlignment="1">
      <alignment horizontal="center" vertical="center"/>
    </xf>
    <xf numFmtId="0" fontId="0" fillId="23" borderId="0" xfId="23" applyFont="1" applyAlignment="1">
      <alignment horizontal="center" vertical="center"/>
    </xf>
  </cellXfs>
  <cellStyles count="24">
    <cellStyle name="20% - Accent1" xfId="20" builtinId="30"/>
    <cellStyle name="20% - Accent2" xfId="15" builtinId="34"/>
    <cellStyle name="20% - Accent3" xfId="21" builtinId="38"/>
    <cellStyle name="20% - Accent4" xfId="23" builtinId="42"/>
    <cellStyle name="20% - Accent5" xfId="18" builtinId="46"/>
    <cellStyle name="40% - Accent3" xfId="22" builtinId="39"/>
    <cellStyle name="40% - Accent4" xfId="17" builtinId="43"/>
    <cellStyle name="40% - Accent5" xfId="12" builtinId="47"/>
    <cellStyle name="60% - Accent1" xfId="5" builtinId="32"/>
    <cellStyle name="60% - Accent2" xfId="14" builtinId="36"/>
    <cellStyle name="60% - Accent3" xfId="16" builtinId="40"/>
    <cellStyle name="60% - Accent5" xfId="13" builtinId="48"/>
    <cellStyle name="60% - Accent6" xfId="19" builtinId="52"/>
    <cellStyle name="Accent1" xfId="4" builtinId="29"/>
    <cellStyle name="Accent2" xfId="6" builtinId="33"/>
    <cellStyle name="Accent3" xfId="7" builtinId="37"/>
    <cellStyle name="Accent4" xfId="8" builtinId="41"/>
    <cellStyle name="Accent5" xfId="9" builtinId="45"/>
    <cellStyle name="Bad" xfId="2" builtinId="27"/>
    <cellStyle name="Good" xfId="1" builtinId="26"/>
    <cellStyle name="Hyperlink" xfId="10" builtinId="8"/>
    <cellStyle name="Neutral" xfId="3" builtinId="28"/>
    <cellStyle name="Normal" xfId="0" builtinId="0"/>
    <cellStyle name="Note" xfId="1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YOLO </a:t>
            </a:r>
            <a:r>
              <a:rPr lang="lv-LV"/>
              <a:t>nano </a:t>
            </a:r>
            <a:r>
              <a:rPr lang="en-US"/>
              <a:t>mode</a:t>
            </a:r>
            <a:r>
              <a:rPr lang="lv-LV"/>
              <a:t>ļu salidzinājums pēc attēla izmēra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2-4205-8E8E-CEB7A5FBF4F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F2-4205-8E8E-CEB7A5FBF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2-4205-8E8E-CEB7A5FBF4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F2-4205-8E8E-CEB7A5FBF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2-4205-8E8E-CEB7A5FBF4F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F2-4205-8E8E-CEB7A5FBF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2-4205-8E8E-CEB7A5FBF4F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EF2-4205-8E8E-CEB7A5FBF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2-4205-8E8E-CEB7A5FBF4F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EF2-4205-8E8E-CEB7A5FBF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2-4205-8E8E-CEB7A5FBF4F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EF2-4205-8E8E-CEB7A5FBF4FE}"/>
              </c:ext>
            </c:extLst>
          </c:dPt>
          <c:cat>
            <c:strRef>
              <c:f>(Sheet1!$B$2,Sheet1!$B$3,Sheet1!$B$4,Sheet1!$B$5,Sheet1!$B$6,Sheet1!$B$7,Sheet1!$B$8,Sheet1!$B$9,Sheet1!$B$10,Sheet1!$B$11,Sheet1!$B$12,Sheet1!$B$13)</c:f>
              <c:strCache>
                <c:ptCount val="12"/>
                <c:pt idx="0">
                  <c:v>YOLOv12n (640)</c:v>
                </c:pt>
                <c:pt idx="1">
                  <c:v>YOLOv12n (800)</c:v>
                </c:pt>
                <c:pt idx="2">
                  <c:v>YOLOv11n (640)</c:v>
                </c:pt>
                <c:pt idx="3">
                  <c:v>YOLOv11n (800)</c:v>
                </c:pt>
                <c:pt idx="4">
                  <c:v>YOLOv10n (640)</c:v>
                </c:pt>
                <c:pt idx="5">
                  <c:v>YOLOv10n (800)</c:v>
                </c:pt>
                <c:pt idx="6">
                  <c:v>YOLOv9t (640)</c:v>
                </c:pt>
                <c:pt idx="7">
                  <c:v>YOLOv9t (800)</c:v>
                </c:pt>
                <c:pt idx="8">
                  <c:v>YOLOv8n (640)</c:v>
                </c:pt>
                <c:pt idx="9">
                  <c:v>YOLOv8n (800)</c:v>
                </c:pt>
                <c:pt idx="10">
                  <c:v>YOLOv5n (640)</c:v>
                </c:pt>
                <c:pt idx="11">
                  <c:v>YOLOv5n (800)</c:v>
                </c:pt>
              </c:strCache>
            </c:strRef>
          </c:cat>
          <c:val>
            <c:numRef>
              <c:f>(Sheet1!$I$2,Sheet1!$I$3,Sheet1!$I$4,Sheet1!$I$5,Sheet1!$I$6,Sheet1!$I$7,Sheet1!$I$8,Sheet1!$I$9,Sheet1!$I$10,Sheet1!$I$11,Sheet1!$I$12,Sheet1!$I$13)</c:f>
              <c:numCache>
                <c:formatCode>General</c:formatCode>
                <c:ptCount val="12"/>
                <c:pt idx="0">
                  <c:v>0.81874999999999998</c:v>
                </c:pt>
                <c:pt idx="1">
                  <c:v>0.84625000000000006</c:v>
                </c:pt>
                <c:pt idx="2">
                  <c:v>0.80974999999999997</c:v>
                </c:pt>
                <c:pt idx="3">
                  <c:v>0.84549999999999992</c:v>
                </c:pt>
                <c:pt idx="4">
                  <c:v>0.75075000000000003</c:v>
                </c:pt>
                <c:pt idx="5">
                  <c:v>0.79399999999999993</c:v>
                </c:pt>
                <c:pt idx="6">
                  <c:v>0.81274999999999997</c:v>
                </c:pt>
                <c:pt idx="7">
                  <c:v>0.84699999999999998</c:v>
                </c:pt>
                <c:pt idx="8">
                  <c:v>0.81600000000000006</c:v>
                </c:pt>
                <c:pt idx="9">
                  <c:v>0.84775</c:v>
                </c:pt>
                <c:pt idx="10">
                  <c:v>0.78649999999999998</c:v>
                </c:pt>
                <c:pt idx="11">
                  <c:v>0.83174999999999999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2-4205-8E8E-CEB7A5FB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9166432"/>
        <c:axId val="1529168352"/>
      </c:barChart>
      <c:catAx>
        <c:axId val="15291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68352"/>
        <c:crosses val="autoZero"/>
        <c:auto val="1"/>
        <c:lblAlgn val="ctr"/>
        <c:lblOffset val="100"/>
        <c:noMultiLvlLbl val="0"/>
      </c:catAx>
      <c:valAx>
        <c:axId val="152916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6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YOLO nano modeļu ar 800 attēla izmēru svāru salidzinājums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(Sheet1!$B$3,Sheet1!$B$5,Sheet1!$B$7,Sheet1!$B$9,Sheet1!$B$11,Sheet1!$B$13)</c:f>
              <c:strCache>
                <c:ptCount val="6"/>
                <c:pt idx="0">
                  <c:v>YOLOv12n (800)</c:v>
                </c:pt>
                <c:pt idx="1">
                  <c:v>YOLOv11n (800)</c:v>
                </c:pt>
                <c:pt idx="2">
                  <c:v>YOLOv10n (800)</c:v>
                </c:pt>
                <c:pt idx="3">
                  <c:v>YOLOv9t (800)</c:v>
                </c:pt>
                <c:pt idx="4">
                  <c:v>YOLOv8n (800)</c:v>
                </c:pt>
                <c:pt idx="5">
                  <c:v>YOLOv5n (800)</c:v>
                </c:pt>
              </c:strCache>
            </c:strRef>
          </c:cat>
          <c:val>
            <c:numRef>
              <c:f>(Sheet1!$J$3,Sheet1!$J$5,Sheet1!$J$7,Sheet1!$J$9,Sheet1!$J$11,Sheet1!$J$13)</c:f>
              <c:numCache>
                <c:formatCode>General</c:formatCode>
                <c:ptCount val="6"/>
                <c:pt idx="0">
                  <c:v>5.5</c:v>
                </c:pt>
                <c:pt idx="1">
                  <c:v>5.5</c:v>
                </c:pt>
                <c:pt idx="2">
                  <c:v>5.8</c:v>
                </c:pt>
                <c:pt idx="3">
                  <c:v>4.7</c:v>
                </c:pt>
                <c:pt idx="4">
                  <c:v>6.3</c:v>
                </c:pt>
                <c:pt idx="5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A-4869-8539-A65C8A0A3B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993568"/>
        <c:axId val="95989248"/>
      </c:lineChart>
      <c:catAx>
        <c:axId val="9599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9248"/>
        <c:crosses val="autoZero"/>
        <c:auto val="1"/>
        <c:lblAlgn val="ctr"/>
        <c:lblOffset val="100"/>
        <c:noMultiLvlLbl val="0"/>
      </c:catAx>
      <c:valAx>
        <c:axId val="9598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YOLO "S"</a:t>
            </a:r>
            <a:r>
              <a:rPr lang="lv-LV" sz="1600" b="1" i="0" u="none" strike="noStrike" kern="1200" baseline="0">
                <a:solidFill>
                  <a:srgbClr val="0E2841"/>
                </a:solidFill>
              </a:rPr>
              <a:t> </a:t>
            </a:r>
            <a:r>
              <a:rPr lang="en-US" sz="1600" b="1" i="0" u="none" strike="noStrike" kern="1200" baseline="0">
                <a:solidFill>
                  <a:srgbClr val="0E2841"/>
                </a:solidFill>
              </a:rPr>
              <a:t>mode</a:t>
            </a:r>
            <a:r>
              <a:rPr lang="lv-LV" sz="1600" b="1" i="0" u="none" strike="noStrike" kern="1200" baseline="0">
                <a:solidFill>
                  <a:srgbClr val="0E2841"/>
                </a:solidFill>
              </a:rPr>
              <a:t>ļu salidzinājums pēc attēla izmēra</a:t>
            </a:r>
            <a:endParaRPr lang="en-US" sz="1600" b="1" i="0" u="none" strike="noStrike" kern="1200" baseline="0">
              <a:solidFill>
                <a:srgbClr val="0E284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9-4C85-A964-13FB3A3C8A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449-4C85-A964-13FB3A3C8A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449-4C85-A964-13FB3A3C8A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49-4C85-A964-13FB3A3C8A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449-4C85-A964-13FB3A3C8A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49-4C85-A964-13FB3A3C8A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449-4C85-A964-13FB3A3C8A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449-4C85-A964-13FB3A3C8A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449-4C85-A964-13FB3A3C8A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49-4C85-A964-13FB3A3C8A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449-4C85-A964-13FB3A3C8A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449-4C85-A964-13FB3A3C8AC2}"/>
              </c:ext>
            </c:extLst>
          </c:dPt>
          <c:dLbls>
            <c:delete val="1"/>
          </c:dLbls>
          <c:cat>
            <c:strRef>
              <c:f>Sheet1!$B$15:$B$26</c:f>
              <c:strCache>
                <c:ptCount val="12"/>
                <c:pt idx="0">
                  <c:v>YOLOv12s (640)</c:v>
                </c:pt>
                <c:pt idx="1">
                  <c:v>YOLOv12s (800)</c:v>
                </c:pt>
                <c:pt idx="2">
                  <c:v>YOLOv11s (640)</c:v>
                </c:pt>
                <c:pt idx="3">
                  <c:v>YOLOv11s (800)</c:v>
                </c:pt>
                <c:pt idx="4">
                  <c:v>YOLOv10s (640)</c:v>
                </c:pt>
                <c:pt idx="5">
                  <c:v>YOLOv10s (800)</c:v>
                </c:pt>
                <c:pt idx="6">
                  <c:v>YOLOv9s (640)</c:v>
                </c:pt>
                <c:pt idx="7">
                  <c:v>YOLOv9s (800)</c:v>
                </c:pt>
                <c:pt idx="8">
                  <c:v>YOLOv8s (640)</c:v>
                </c:pt>
                <c:pt idx="9">
                  <c:v>YOLOv8s (800)</c:v>
                </c:pt>
                <c:pt idx="10">
                  <c:v>YOLOv5s (640)</c:v>
                </c:pt>
                <c:pt idx="11">
                  <c:v>YOLOv5s (800)</c:v>
                </c:pt>
              </c:strCache>
            </c:strRef>
          </c:cat>
          <c:val>
            <c:numRef>
              <c:f>Sheet1!$I$15:$I$26</c:f>
              <c:numCache>
                <c:formatCode>General</c:formatCode>
                <c:ptCount val="12"/>
                <c:pt idx="0">
                  <c:v>0.87175000000000014</c:v>
                </c:pt>
                <c:pt idx="1">
                  <c:v>0.89074999999999993</c:v>
                </c:pt>
                <c:pt idx="2">
                  <c:v>0.86975000000000002</c:v>
                </c:pt>
                <c:pt idx="3">
                  <c:v>0.88650000000000007</c:v>
                </c:pt>
                <c:pt idx="4">
                  <c:v>0.86375000000000002</c:v>
                </c:pt>
                <c:pt idx="5">
                  <c:v>0.87875000000000014</c:v>
                </c:pt>
                <c:pt idx="6">
                  <c:v>0.86924999999999997</c:v>
                </c:pt>
                <c:pt idx="7">
                  <c:v>0.88449999999999995</c:v>
                </c:pt>
                <c:pt idx="8">
                  <c:v>0.86250000000000004</c:v>
                </c:pt>
                <c:pt idx="9">
                  <c:v>0.88149999999999995</c:v>
                </c:pt>
                <c:pt idx="10">
                  <c:v>0.85599999999999998</c:v>
                </c:pt>
                <c:pt idx="11">
                  <c:v>0.87575000000000003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9-4C85-A964-13FB3A3C8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202579680"/>
        <c:axId val="1202573920"/>
      </c:barChart>
      <c:catAx>
        <c:axId val="120257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73920"/>
        <c:crosses val="autoZero"/>
        <c:auto val="1"/>
        <c:lblAlgn val="ctr"/>
        <c:lblOffset val="100"/>
        <c:noMultiLvlLbl val="0"/>
      </c:catAx>
      <c:valAx>
        <c:axId val="12025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YOLO </a:t>
            </a:r>
            <a:r>
              <a:rPr lang="en-US"/>
              <a:t>"S"</a:t>
            </a:r>
            <a:r>
              <a:rPr lang="lv-LV"/>
              <a:t> modeļu ar 800 attēla izmēru svāru salidzinājums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(Sheet1!$B$16,Sheet1!$B$18,Sheet1!$B$20,Sheet1!$B$22,Sheet1!$B$24,Sheet1!$B$26)</c:f>
              <c:strCache>
                <c:ptCount val="6"/>
                <c:pt idx="0">
                  <c:v>YOLOv12s (800)</c:v>
                </c:pt>
                <c:pt idx="1">
                  <c:v>YOLOv11s (800)</c:v>
                </c:pt>
                <c:pt idx="2">
                  <c:v>YOLOv10s (800)</c:v>
                </c:pt>
                <c:pt idx="3">
                  <c:v>YOLOv9s (800)</c:v>
                </c:pt>
                <c:pt idx="4">
                  <c:v>YOLOv8s (800)</c:v>
                </c:pt>
                <c:pt idx="5">
                  <c:v>YOLOv5s (800)</c:v>
                </c:pt>
              </c:strCache>
            </c:strRef>
          </c:cat>
          <c:val>
            <c:numRef>
              <c:f>(Sheet1!$J$16,Sheet1!$J$18,Sheet1!$J$20,Sheet1!$J$22,Sheet1!$J$24,Sheet1!$J$26)</c:f>
              <c:numCache>
                <c:formatCode>General</c:formatCode>
                <c:ptCount val="6"/>
                <c:pt idx="0">
                  <c:v>19</c:v>
                </c:pt>
                <c:pt idx="1">
                  <c:v>19.2</c:v>
                </c:pt>
                <c:pt idx="2">
                  <c:v>16.600000000000001</c:v>
                </c:pt>
                <c:pt idx="3">
                  <c:v>15.3</c:v>
                </c:pt>
                <c:pt idx="4">
                  <c:v>22.6</c:v>
                </c:pt>
                <c:pt idx="5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A-49B8-9206-B6C848BCB6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2582080"/>
        <c:axId val="1202565760"/>
      </c:lineChart>
      <c:catAx>
        <c:axId val="12025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65760"/>
        <c:crosses val="autoZero"/>
        <c:auto val="1"/>
        <c:lblAlgn val="ctr"/>
        <c:lblOffset val="100"/>
        <c:noMultiLvlLbl val="0"/>
      </c:catAx>
      <c:valAx>
        <c:axId val="120256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8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lv-LV"/>
              <a:t>Dažu datu kopu salidzinājums ar</a:t>
            </a:r>
            <a:r>
              <a:rPr lang="lv-LV" baseline="0"/>
              <a:t> izveidotu datu kopu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(Sheet1!$A$52:$A$56,Sheet1!$A$86:$A$110)</c:f>
              <c:strCache>
                <c:ptCount val="26"/>
                <c:pt idx="0">
                  <c:v>YOLOv12n</c:v>
                </c:pt>
                <c:pt idx="5">
                  <c:v>GTSDB</c:v>
                </c:pt>
                <c:pt idx="10">
                  <c:v>Road Sign Detection</c:v>
                </c:pt>
                <c:pt idx="15">
                  <c:v>Traffic Signs Detection Europe </c:v>
                </c:pt>
                <c:pt idx="20">
                  <c:v>Traffic-Sign-Localization-Detection</c:v>
                </c:pt>
                <c:pt idx="25">
                  <c:v>TT100K</c:v>
                </c:pt>
              </c:strCache>
            </c:strRef>
          </c:cat>
          <c:val>
            <c:numRef>
              <c:f>(Sheet1!$F$52:$F$56,Sheet1!$F$86:$F$110)</c:f>
              <c:numCache>
                <c:formatCode>General</c:formatCode>
                <c:ptCount val="30"/>
                <c:pt idx="0">
                  <c:v>80.546980852314846</c:v>
                </c:pt>
                <c:pt idx="5">
                  <c:v>21.733027413486038</c:v>
                </c:pt>
                <c:pt idx="10">
                  <c:v>14.076835427782587</c:v>
                </c:pt>
                <c:pt idx="15">
                  <c:v>57.700398499251932</c:v>
                </c:pt>
                <c:pt idx="20">
                  <c:v>19.164501306824338</c:v>
                </c:pt>
                <c:pt idx="25">
                  <c:v>32.779188381132556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1F-BCEC-D3A6FD4E8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5139392"/>
        <c:axId val="1015140352"/>
      </c:barChart>
      <c:catAx>
        <c:axId val="10151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40352"/>
        <c:crosses val="autoZero"/>
        <c:auto val="1"/>
        <c:lblAlgn val="ctr"/>
        <c:lblOffset val="100"/>
        <c:noMultiLvlLbl val="0"/>
      </c:catAx>
      <c:valAx>
        <c:axId val="10151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Precizitāte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393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61635</xdr:colOff>
      <xdr:row>26</xdr:row>
      <xdr:rowOff>169209</xdr:rowOff>
    </xdr:from>
    <xdr:to>
      <xdr:col>3</xdr:col>
      <xdr:colOff>1815354</xdr:colOff>
      <xdr:row>41</xdr:row>
      <xdr:rowOff>54909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2A9F01-8607-8D27-D17A-D9A1804E7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302558</xdr:colOff>
      <xdr:row>26</xdr:row>
      <xdr:rowOff>169210</xdr:rowOff>
    </xdr:from>
    <xdr:to>
      <xdr:col>9</xdr:col>
      <xdr:colOff>89646</xdr:colOff>
      <xdr:row>41</xdr:row>
      <xdr:rowOff>54910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E6E7D4-9D71-37D0-A967-37DF13BEC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128866</xdr:colOff>
      <xdr:row>26</xdr:row>
      <xdr:rowOff>169207</xdr:rowOff>
    </xdr:from>
    <xdr:to>
      <xdr:col>13</xdr:col>
      <xdr:colOff>128866</xdr:colOff>
      <xdr:row>41</xdr:row>
      <xdr:rowOff>54907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225DC9-1094-24A7-D12D-FE0115192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246528</xdr:colOff>
      <xdr:row>27</xdr:row>
      <xdr:rowOff>34738</xdr:rowOff>
    </xdr:from>
    <xdr:to>
      <xdr:col>19</xdr:col>
      <xdr:colOff>324970</xdr:colOff>
      <xdr:row>40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B6E78F-4372-FC8C-68F0-99DD6E794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521072</xdr:colOff>
      <xdr:row>83</xdr:row>
      <xdr:rowOff>145676</xdr:rowOff>
    </xdr:from>
    <xdr:to>
      <xdr:col>11</xdr:col>
      <xdr:colOff>537881</xdr:colOff>
      <xdr:row>102</xdr:row>
      <xdr:rowOff>155762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2598-D659-26FD-8E37-73A999BA8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verse.roboflow.com/customdata-h6ymq/traffic-sign-detection-yolov5-o2l9p" TargetMode="External"/><Relationship Id="rId3" Type="http://schemas.openxmlformats.org/officeDocument/2006/relationships/hyperlink" Target="https://www.kaggle.com/datasets/pkdarabi/cardetection" TargetMode="External"/><Relationship Id="rId7" Type="http://schemas.openxmlformats.org/officeDocument/2006/relationships/hyperlink" Target="https://www.youtube.com/watch?v=SRx_kcZT_rE&amp;ab_channel=LatvianFamilyVlog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kaggle.com/datasets/doganozcan/traffic-sign-gtrb" TargetMode="External"/><Relationship Id="rId1" Type="http://schemas.openxmlformats.org/officeDocument/2006/relationships/hyperlink" Target="https://universe.roboflow.com/mohamed-traore-2ekkp/gtsdb---german-traffic-sign-detection-benchmark" TargetMode="External"/><Relationship Id="rId6" Type="http://schemas.openxmlformats.org/officeDocument/2006/relationships/hyperlink" Target="https://www.youtube.com/watch?v=grGtVSYD2a4&amp;ab_channel=A%26MWanderingaroun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qOm3T4cyUZI&amp;ab_channel=LatvianFamilyVlog" TargetMode="External"/><Relationship Id="rId10" Type="http://schemas.openxmlformats.org/officeDocument/2006/relationships/hyperlink" Target="https://www.kaggle.com/datasets/braunge/tt100k" TargetMode="External"/><Relationship Id="rId4" Type="http://schemas.openxmlformats.org/officeDocument/2006/relationships/hyperlink" Target="https://universe.roboflow.com/radu-oprea-r4xnm/traffic-signs-detection-europe" TargetMode="External"/><Relationship Id="rId9" Type="http://schemas.openxmlformats.org/officeDocument/2006/relationships/hyperlink" Target="https://www.kaggle.com/datasets/ahemateja19bec1025/trafficsignlocalizationdetectionyoloannotated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F161-39D0-4B1D-9206-B2AADECBC4DC}">
  <dimension ref="A1:S110"/>
  <sheetViews>
    <sheetView tabSelected="1" zoomScale="85" zoomScaleNormal="85" workbookViewId="0">
      <selection activeCell="I107" sqref="I107"/>
    </sheetView>
  </sheetViews>
  <sheetFormatPr defaultRowHeight="15" x14ac:dyDescent="0.25"/>
  <cols>
    <col min="1" max="1" width="31.42578125" customWidth="1"/>
    <col min="2" max="2" width="15.5703125" customWidth="1"/>
    <col min="3" max="3" width="33.140625" customWidth="1"/>
    <col min="4" max="4" width="28.140625" customWidth="1"/>
    <col min="5" max="5" width="14.42578125" customWidth="1"/>
    <col min="6" max="6" width="18.5703125" customWidth="1"/>
    <col min="7" max="7" width="13.140625" customWidth="1"/>
    <col min="8" max="8" width="19.42578125" customWidth="1"/>
    <col min="9" max="9" width="14.28515625" customWidth="1"/>
    <col min="10" max="10" width="15" customWidth="1"/>
    <col min="11" max="11" width="21" customWidth="1"/>
    <col min="12" max="12" width="18.7109375" customWidth="1"/>
    <col min="13" max="13" width="18.85546875" customWidth="1"/>
    <col min="14" max="14" width="16.5703125" customWidth="1"/>
    <col min="15" max="15" width="15.5703125" customWidth="1"/>
    <col min="16" max="16" width="14.42578125" customWidth="1"/>
    <col min="17" max="17" width="11.140625" customWidth="1"/>
  </cols>
  <sheetData>
    <row r="1" spans="1:18" x14ac:dyDescent="0.25">
      <c r="A1" s="10" t="s">
        <v>27</v>
      </c>
      <c r="B1" s="2" t="s">
        <v>0</v>
      </c>
      <c r="C1" s="19" t="s">
        <v>34</v>
      </c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20" t="s">
        <v>35</v>
      </c>
      <c r="J1" s="16" t="s">
        <v>10</v>
      </c>
      <c r="K1" s="17" t="s">
        <v>11</v>
      </c>
      <c r="L1" s="21" t="s">
        <v>83</v>
      </c>
      <c r="M1" s="8" t="s">
        <v>6</v>
      </c>
      <c r="N1" s="9" t="s">
        <v>7</v>
      </c>
      <c r="O1" s="12" t="s">
        <v>8</v>
      </c>
      <c r="P1" s="7" t="s">
        <v>9</v>
      </c>
      <c r="Q1" s="18" t="s">
        <v>28</v>
      </c>
      <c r="R1" s="8" t="s">
        <v>30</v>
      </c>
    </row>
    <row r="2" spans="1:18" x14ac:dyDescent="0.25">
      <c r="A2" t="s">
        <v>26</v>
      </c>
      <c r="B2" t="s">
        <v>58</v>
      </c>
      <c r="C2">
        <v>50</v>
      </c>
      <c r="D2" s="1">
        <v>5.2083333333333336E-2</v>
      </c>
      <c r="E2">
        <v>0.89500000000000002</v>
      </c>
      <c r="F2">
        <v>0.82199999999999995</v>
      </c>
      <c r="G2">
        <v>0.88900000000000001</v>
      </c>
      <c r="H2">
        <v>0.66900000000000004</v>
      </c>
      <c r="I2">
        <f t="shared" ref="I2:I8" si="0">AVERAGE(E2:H2)</f>
        <v>0.81874999999999998</v>
      </c>
      <c r="J2">
        <v>5.5</v>
      </c>
      <c r="K2" s="13">
        <v>2578188</v>
      </c>
      <c r="L2">
        <v>3.31</v>
      </c>
      <c r="M2">
        <f t="shared" ref="M2:M26" si="1">6697+1682</f>
        <v>8379</v>
      </c>
      <c r="N2">
        <v>52</v>
      </c>
      <c r="O2">
        <v>640</v>
      </c>
      <c r="P2" t="s">
        <v>32</v>
      </c>
      <c r="Q2" s="13" t="s">
        <v>29</v>
      </c>
      <c r="R2" t="s">
        <v>31</v>
      </c>
    </row>
    <row r="3" spans="1:18" x14ac:dyDescent="0.25">
      <c r="A3" t="s">
        <v>26</v>
      </c>
      <c r="B3" t="s">
        <v>59</v>
      </c>
      <c r="C3">
        <v>50</v>
      </c>
      <c r="D3" s="1">
        <v>8.2638888888888887E-2</v>
      </c>
      <c r="E3">
        <v>0.90600000000000003</v>
      </c>
      <c r="F3">
        <v>0.86299999999999999</v>
      </c>
      <c r="G3">
        <v>0.91400000000000003</v>
      </c>
      <c r="H3">
        <v>0.70199999999999996</v>
      </c>
      <c r="I3">
        <f t="shared" si="0"/>
        <v>0.84625000000000006</v>
      </c>
      <c r="J3">
        <v>5.5</v>
      </c>
      <c r="K3" s="13">
        <v>2578188</v>
      </c>
      <c r="L3">
        <v>6.12</v>
      </c>
      <c r="M3">
        <f t="shared" si="1"/>
        <v>8379</v>
      </c>
      <c r="N3">
        <v>52</v>
      </c>
      <c r="O3">
        <v>800</v>
      </c>
      <c r="P3" t="s">
        <v>33</v>
      </c>
      <c r="Q3" s="13" t="s">
        <v>29</v>
      </c>
      <c r="R3" t="s">
        <v>31</v>
      </c>
    </row>
    <row r="4" spans="1:18" x14ac:dyDescent="0.25">
      <c r="A4" t="s">
        <v>26</v>
      </c>
      <c r="B4" t="s">
        <v>60</v>
      </c>
      <c r="C4">
        <v>50</v>
      </c>
      <c r="D4" s="1">
        <v>3.8194444444444448E-2</v>
      </c>
      <c r="E4">
        <v>0.88300000000000001</v>
      </c>
      <c r="F4">
        <v>0.81699999999999995</v>
      </c>
      <c r="G4">
        <v>0.878</v>
      </c>
      <c r="H4">
        <v>0.66100000000000003</v>
      </c>
      <c r="I4">
        <f t="shared" si="0"/>
        <v>0.80974999999999997</v>
      </c>
      <c r="J4">
        <v>5.5</v>
      </c>
      <c r="K4" s="13">
        <v>2599980</v>
      </c>
      <c r="L4">
        <v>2.36</v>
      </c>
      <c r="M4">
        <f t="shared" si="1"/>
        <v>8379</v>
      </c>
      <c r="N4">
        <v>52</v>
      </c>
      <c r="O4">
        <v>640</v>
      </c>
      <c r="P4" t="s">
        <v>37</v>
      </c>
      <c r="Q4" s="13" t="s">
        <v>29</v>
      </c>
      <c r="R4" t="s">
        <v>31</v>
      </c>
    </row>
    <row r="5" spans="1:18" x14ac:dyDescent="0.25">
      <c r="A5" t="s">
        <v>26</v>
      </c>
      <c r="B5" t="s">
        <v>61</v>
      </c>
      <c r="C5">
        <v>50</v>
      </c>
      <c r="D5" s="1">
        <v>5.2083333333333336E-2</v>
      </c>
      <c r="E5">
        <v>0.91500000000000004</v>
      </c>
      <c r="F5">
        <v>0.85199999999999998</v>
      </c>
      <c r="G5">
        <v>0.91300000000000003</v>
      </c>
      <c r="H5">
        <v>0.70199999999999996</v>
      </c>
      <c r="I5">
        <f t="shared" si="0"/>
        <v>0.84549999999999992</v>
      </c>
      <c r="J5">
        <v>5.5</v>
      </c>
      <c r="K5" s="13">
        <v>2599980</v>
      </c>
      <c r="L5">
        <v>3.58</v>
      </c>
      <c r="M5">
        <f t="shared" si="1"/>
        <v>8379</v>
      </c>
      <c r="N5">
        <v>52</v>
      </c>
      <c r="O5">
        <v>800</v>
      </c>
      <c r="P5" t="s">
        <v>38</v>
      </c>
      <c r="Q5" s="13" t="s">
        <v>29</v>
      </c>
      <c r="R5" t="s">
        <v>31</v>
      </c>
    </row>
    <row r="6" spans="1:18" x14ac:dyDescent="0.25">
      <c r="A6" t="s">
        <v>26</v>
      </c>
      <c r="B6" t="s">
        <v>62</v>
      </c>
      <c r="C6">
        <v>50</v>
      </c>
      <c r="D6" s="1">
        <v>4.7222222222222221E-2</v>
      </c>
      <c r="E6">
        <v>0.79800000000000004</v>
      </c>
      <c r="F6">
        <v>0.749</v>
      </c>
      <c r="G6">
        <v>0.82799999999999996</v>
      </c>
      <c r="H6">
        <v>0.628</v>
      </c>
      <c r="I6">
        <f t="shared" si="0"/>
        <v>0.75075000000000003</v>
      </c>
      <c r="J6">
        <v>5.8</v>
      </c>
      <c r="K6" s="13">
        <v>2727320</v>
      </c>
      <c r="L6">
        <v>2.96</v>
      </c>
      <c r="M6">
        <f t="shared" si="1"/>
        <v>8379</v>
      </c>
      <c r="N6">
        <v>52</v>
      </c>
      <c r="O6">
        <v>640</v>
      </c>
      <c r="P6" t="s">
        <v>40</v>
      </c>
      <c r="Q6" s="13" t="s">
        <v>29</v>
      </c>
      <c r="R6" t="s">
        <v>31</v>
      </c>
    </row>
    <row r="7" spans="1:18" x14ac:dyDescent="0.25">
      <c r="A7" t="s">
        <v>26</v>
      </c>
      <c r="B7" t="s">
        <v>63</v>
      </c>
      <c r="C7">
        <v>50</v>
      </c>
      <c r="D7" s="1">
        <v>6.8750000000000006E-2</v>
      </c>
      <c r="E7">
        <v>0.84399999999999997</v>
      </c>
      <c r="F7">
        <v>0.79400000000000004</v>
      </c>
      <c r="G7">
        <v>0.86899999999999999</v>
      </c>
      <c r="H7">
        <v>0.66900000000000004</v>
      </c>
      <c r="I7">
        <f t="shared" si="0"/>
        <v>0.79399999999999993</v>
      </c>
      <c r="J7">
        <v>5.8</v>
      </c>
      <c r="K7" s="13">
        <v>2727320</v>
      </c>
      <c r="L7">
        <v>4.43</v>
      </c>
      <c r="M7">
        <f t="shared" si="1"/>
        <v>8379</v>
      </c>
      <c r="N7">
        <v>52</v>
      </c>
      <c r="O7">
        <v>800</v>
      </c>
      <c r="P7" t="s">
        <v>41</v>
      </c>
      <c r="Q7" s="13" t="s">
        <v>29</v>
      </c>
      <c r="R7" t="s">
        <v>31</v>
      </c>
    </row>
    <row r="8" spans="1:18" x14ac:dyDescent="0.25">
      <c r="A8" t="s">
        <v>26</v>
      </c>
      <c r="B8" t="s">
        <v>64</v>
      </c>
      <c r="C8">
        <v>50</v>
      </c>
      <c r="D8" s="1">
        <v>5.6944444444444443E-2</v>
      </c>
      <c r="E8">
        <v>0.88300000000000001</v>
      </c>
      <c r="F8">
        <v>0.81299999999999994</v>
      </c>
      <c r="G8">
        <v>0.89</v>
      </c>
      <c r="H8">
        <v>0.66500000000000004</v>
      </c>
      <c r="I8">
        <f t="shared" si="0"/>
        <v>0.81274999999999997</v>
      </c>
      <c r="J8">
        <v>4.5999999999999996</v>
      </c>
      <c r="K8" s="13">
        <v>2015548</v>
      </c>
      <c r="L8">
        <v>2.62</v>
      </c>
      <c r="M8">
        <f t="shared" si="1"/>
        <v>8379</v>
      </c>
      <c r="N8">
        <v>52</v>
      </c>
      <c r="O8">
        <v>640</v>
      </c>
      <c r="P8" t="s">
        <v>43</v>
      </c>
      <c r="Q8" s="13" t="s">
        <v>29</v>
      </c>
      <c r="R8" t="s">
        <v>31</v>
      </c>
    </row>
    <row r="9" spans="1:18" x14ac:dyDescent="0.25">
      <c r="A9" t="s">
        <v>26</v>
      </c>
      <c r="B9" t="s">
        <v>65</v>
      </c>
      <c r="C9">
        <v>50</v>
      </c>
      <c r="D9" s="1">
        <v>6.805555555555555E-2</v>
      </c>
      <c r="E9">
        <v>0.90100000000000002</v>
      </c>
      <c r="F9">
        <v>0.86399999999999999</v>
      </c>
      <c r="G9">
        <v>0.92</v>
      </c>
      <c r="H9">
        <v>0.70299999999999996</v>
      </c>
      <c r="I9">
        <f t="shared" ref="I9:I13" si="2">AVERAGE(E9:H9)</f>
        <v>0.84699999999999998</v>
      </c>
      <c r="J9">
        <v>4.7</v>
      </c>
      <c r="K9" s="13">
        <v>2015548</v>
      </c>
      <c r="L9">
        <v>4.3</v>
      </c>
      <c r="M9">
        <f t="shared" si="1"/>
        <v>8379</v>
      </c>
      <c r="N9">
        <v>52</v>
      </c>
      <c r="O9">
        <v>800</v>
      </c>
      <c r="P9" t="s">
        <v>44</v>
      </c>
      <c r="Q9" s="13" t="s">
        <v>29</v>
      </c>
      <c r="R9" t="s">
        <v>31</v>
      </c>
    </row>
    <row r="10" spans="1:18" x14ac:dyDescent="0.25">
      <c r="A10" t="s">
        <v>26</v>
      </c>
      <c r="B10" t="s">
        <v>66</v>
      </c>
      <c r="C10">
        <v>50</v>
      </c>
      <c r="D10" s="1">
        <v>3.5416666666666666E-2</v>
      </c>
      <c r="E10">
        <v>0.89200000000000002</v>
      </c>
      <c r="F10">
        <v>0.81799999999999995</v>
      </c>
      <c r="G10">
        <v>0.89</v>
      </c>
      <c r="H10">
        <v>0.66400000000000003</v>
      </c>
      <c r="I10">
        <f t="shared" si="2"/>
        <v>0.81600000000000006</v>
      </c>
      <c r="J10">
        <v>6.2</v>
      </c>
      <c r="K10" s="13">
        <v>3020972</v>
      </c>
      <c r="L10">
        <v>2.5299999999999998</v>
      </c>
      <c r="M10">
        <f t="shared" si="1"/>
        <v>8379</v>
      </c>
      <c r="N10">
        <v>52</v>
      </c>
      <c r="O10">
        <v>640</v>
      </c>
      <c r="P10" t="s">
        <v>46</v>
      </c>
      <c r="Q10" s="13" t="s">
        <v>29</v>
      </c>
      <c r="R10" t="s">
        <v>31</v>
      </c>
    </row>
    <row r="11" spans="1:18" x14ac:dyDescent="0.25">
      <c r="A11" t="s">
        <v>26</v>
      </c>
      <c r="B11" t="s">
        <v>67</v>
      </c>
      <c r="C11">
        <v>50</v>
      </c>
      <c r="D11" s="1">
        <v>4.8611111111111112E-2</v>
      </c>
      <c r="E11">
        <v>0.89700000000000002</v>
      </c>
      <c r="F11">
        <v>0.86799999999999999</v>
      </c>
      <c r="G11">
        <v>0.92300000000000004</v>
      </c>
      <c r="H11">
        <v>0.70299999999999996</v>
      </c>
      <c r="I11">
        <f t="shared" si="2"/>
        <v>0.84775</v>
      </c>
      <c r="J11">
        <v>6.3</v>
      </c>
      <c r="K11" s="13">
        <v>3020972</v>
      </c>
      <c r="L11">
        <v>3.2</v>
      </c>
      <c r="M11">
        <f t="shared" si="1"/>
        <v>8379</v>
      </c>
      <c r="N11">
        <v>52</v>
      </c>
      <c r="O11">
        <v>800</v>
      </c>
      <c r="P11" t="s">
        <v>47</v>
      </c>
      <c r="Q11" s="13" t="s">
        <v>29</v>
      </c>
      <c r="R11" t="s">
        <v>31</v>
      </c>
    </row>
    <row r="12" spans="1:18" x14ac:dyDescent="0.25">
      <c r="A12" t="s">
        <v>26</v>
      </c>
      <c r="B12" t="s">
        <v>68</v>
      </c>
      <c r="C12">
        <v>50</v>
      </c>
      <c r="D12" s="1">
        <v>3.3333333333333333E-2</v>
      </c>
      <c r="E12">
        <v>0.84699999999999998</v>
      </c>
      <c r="F12">
        <v>0.79400000000000004</v>
      </c>
      <c r="G12">
        <v>0.86099999999999999</v>
      </c>
      <c r="H12">
        <v>0.64400000000000002</v>
      </c>
      <c r="I12">
        <f t="shared" si="2"/>
        <v>0.78649999999999998</v>
      </c>
      <c r="J12">
        <v>5.3</v>
      </c>
      <c r="K12" s="13">
        <v>2518604</v>
      </c>
      <c r="L12">
        <v>2.0499999999999998</v>
      </c>
      <c r="M12">
        <f t="shared" si="1"/>
        <v>8379</v>
      </c>
      <c r="N12">
        <v>52</v>
      </c>
      <c r="O12">
        <v>640</v>
      </c>
      <c r="P12" t="s">
        <v>49</v>
      </c>
      <c r="Q12" s="13" t="s">
        <v>29</v>
      </c>
      <c r="R12" t="s">
        <v>31</v>
      </c>
    </row>
    <row r="13" spans="1:18" x14ac:dyDescent="0.25">
      <c r="A13" t="s">
        <v>26</v>
      </c>
      <c r="B13" t="s">
        <v>69</v>
      </c>
      <c r="C13">
        <v>50</v>
      </c>
      <c r="D13" s="1">
        <v>4.791666666666667E-2</v>
      </c>
      <c r="E13">
        <v>0.89300000000000002</v>
      </c>
      <c r="F13">
        <v>0.84</v>
      </c>
      <c r="G13">
        <v>0.90400000000000003</v>
      </c>
      <c r="H13">
        <v>0.69</v>
      </c>
      <c r="I13">
        <f t="shared" si="2"/>
        <v>0.83174999999999999</v>
      </c>
      <c r="J13">
        <v>5.3</v>
      </c>
      <c r="K13" s="13">
        <v>2518604</v>
      </c>
      <c r="L13">
        <v>3.11</v>
      </c>
      <c r="M13">
        <f t="shared" si="1"/>
        <v>8379</v>
      </c>
      <c r="N13">
        <v>52</v>
      </c>
      <c r="O13">
        <v>800</v>
      </c>
      <c r="P13" t="s">
        <v>50</v>
      </c>
      <c r="Q13" s="13" t="s">
        <v>29</v>
      </c>
      <c r="R13" t="s">
        <v>31</v>
      </c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t="s">
        <v>26</v>
      </c>
      <c r="B15" t="s">
        <v>70</v>
      </c>
      <c r="C15">
        <v>50</v>
      </c>
      <c r="D15" s="1">
        <v>8.4027777777777785E-2</v>
      </c>
      <c r="E15">
        <v>0.93400000000000005</v>
      </c>
      <c r="F15">
        <v>0.89100000000000001</v>
      </c>
      <c r="G15">
        <v>0.93700000000000006</v>
      </c>
      <c r="H15">
        <v>0.72499999999999998</v>
      </c>
      <c r="I15">
        <f t="shared" ref="I15:I26" si="3">AVERAGE(E15:H15)</f>
        <v>0.87175000000000014</v>
      </c>
      <c r="J15">
        <v>19</v>
      </c>
      <c r="K15" s="13">
        <v>9273260</v>
      </c>
      <c r="L15">
        <v>6.07</v>
      </c>
      <c r="M15">
        <f t="shared" si="1"/>
        <v>8379</v>
      </c>
      <c r="N15">
        <v>52</v>
      </c>
      <c r="O15" s="13">
        <v>640</v>
      </c>
      <c r="P15" t="s">
        <v>36</v>
      </c>
      <c r="Q15" s="13" t="s">
        <v>29</v>
      </c>
      <c r="R15" t="s">
        <v>31</v>
      </c>
    </row>
    <row r="16" spans="1:18" ht="17.25" customHeight="1" x14ac:dyDescent="0.25">
      <c r="A16" t="s">
        <v>26</v>
      </c>
      <c r="B16" t="s">
        <v>81</v>
      </c>
      <c r="C16">
        <v>50</v>
      </c>
      <c r="D16" s="1">
        <v>0.14583333333333334</v>
      </c>
      <c r="E16">
        <v>0.94299999999999995</v>
      </c>
      <c r="F16">
        <v>0.92100000000000004</v>
      </c>
      <c r="G16">
        <v>0.95399999999999996</v>
      </c>
      <c r="H16">
        <v>0.745</v>
      </c>
      <c r="I16">
        <f t="shared" si="3"/>
        <v>0.89074999999999993</v>
      </c>
      <c r="J16">
        <v>19</v>
      </c>
      <c r="K16" s="13">
        <v>9273260</v>
      </c>
      <c r="L16" t="s">
        <v>82</v>
      </c>
      <c r="M16">
        <f t="shared" si="1"/>
        <v>8379</v>
      </c>
      <c r="N16">
        <v>52</v>
      </c>
      <c r="O16">
        <v>800</v>
      </c>
      <c r="P16" t="s">
        <v>57</v>
      </c>
      <c r="Q16" s="13" t="s">
        <v>29</v>
      </c>
      <c r="R16" t="s">
        <v>31</v>
      </c>
    </row>
    <row r="17" spans="1:18" ht="17.25" customHeight="1" x14ac:dyDescent="0.25">
      <c r="A17" t="s">
        <v>26</v>
      </c>
      <c r="B17" t="s">
        <v>71</v>
      </c>
      <c r="C17">
        <v>50</v>
      </c>
      <c r="D17" s="1">
        <v>5.6944444444444443E-2</v>
      </c>
      <c r="E17">
        <v>0.93</v>
      </c>
      <c r="F17">
        <v>0.88900000000000001</v>
      </c>
      <c r="G17">
        <v>0.93899999999999995</v>
      </c>
      <c r="H17">
        <v>0.72099999999999997</v>
      </c>
      <c r="I17">
        <f t="shared" si="3"/>
        <v>0.86975000000000002</v>
      </c>
      <c r="J17">
        <v>19.2</v>
      </c>
      <c r="K17" s="13">
        <v>9447916</v>
      </c>
      <c r="L17">
        <v>4.07</v>
      </c>
      <c r="M17">
        <f t="shared" si="1"/>
        <v>8379</v>
      </c>
      <c r="N17">
        <v>52</v>
      </c>
      <c r="O17">
        <v>640</v>
      </c>
      <c r="P17" t="s">
        <v>39</v>
      </c>
      <c r="Q17" s="13" t="s">
        <v>29</v>
      </c>
      <c r="R17" t="s">
        <v>31</v>
      </c>
    </row>
    <row r="18" spans="1:18" ht="17.25" customHeight="1" x14ac:dyDescent="0.25">
      <c r="A18" t="s">
        <v>26</v>
      </c>
      <c r="B18" t="s">
        <v>80</v>
      </c>
      <c r="C18">
        <v>50</v>
      </c>
      <c r="D18" s="1">
        <v>8.2638888888888887E-2</v>
      </c>
      <c r="E18">
        <v>0.94599999999999995</v>
      </c>
      <c r="F18">
        <v>0.90900000000000003</v>
      </c>
      <c r="G18">
        <v>0.95099999999999996</v>
      </c>
      <c r="H18">
        <v>0.74</v>
      </c>
      <c r="I18">
        <f t="shared" si="3"/>
        <v>0.88650000000000007</v>
      </c>
      <c r="J18">
        <v>19.2</v>
      </c>
      <c r="K18" s="13">
        <v>9447916</v>
      </c>
      <c r="L18">
        <v>6.21</v>
      </c>
      <c r="M18">
        <f t="shared" si="1"/>
        <v>8379</v>
      </c>
      <c r="N18">
        <v>52</v>
      </c>
      <c r="O18">
        <v>800</v>
      </c>
      <c r="P18" t="s">
        <v>56</v>
      </c>
      <c r="Q18" s="13" t="s">
        <v>29</v>
      </c>
      <c r="R18" t="s">
        <v>31</v>
      </c>
    </row>
    <row r="19" spans="1:18" ht="17.25" customHeight="1" x14ac:dyDescent="0.25">
      <c r="A19" t="s">
        <v>26</v>
      </c>
      <c r="B19" t="s">
        <v>72</v>
      </c>
      <c r="C19">
        <v>50</v>
      </c>
      <c r="D19" s="1">
        <v>7.013888888888889E-2</v>
      </c>
      <c r="E19">
        <v>0.92500000000000004</v>
      </c>
      <c r="F19">
        <v>0.88200000000000001</v>
      </c>
      <c r="G19">
        <v>0.92800000000000005</v>
      </c>
      <c r="H19">
        <v>0.72</v>
      </c>
      <c r="I19">
        <f t="shared" si="3"/>
        <v>0.86375000000000002</v>
      </c>
      <c r="J19">
        <v>16.600000000000001</v>
      </c>
      <c r="K19" s="13">
        <v>8106600</v>
      </c>
      <c r="L19">
        <v>4.97</v>
      </c>
      <c r="M19">
        <f t="shared" si="1"/>
        <v>8379</v>
      </c>
      <c r="N19">
        <v>52</v>
      </c>
      <c r="O19">
        <v>640</v>
      </c>
      <c r="P19" t="s">
        <v>42</v>
      </c>
      <c r="Q19" s="13" t="s">
        <v>29</v>
      </c>
      <c r="R19" t="s">
        <v>31</v>
      </c>
    </row>
    <row r="20" spans="1:18" ht="17.25" customHeight="1" x14ac:dyDescent="0.25">
      <c r="A20" t="s">
        <v>26</v>
      </c>
      <c r="B20" t="s">
        <v>79</v>
      </c>
      <c r="C20">
        <v>50</v>
      </c>
      <c r="D20" s="1">
        <v>0.1673611111111111</v>
      </c>
      <c r="E20">
        <v>0.93400000000000005</v>
      </c>
      <c r="F20">
        <v>0.89900000000000002</v>
      </c>
      <c r="G20">
        <v>0.94199999999999995</v>
      </c>
      <c r="H20">
        <v>0.74</v>
      </c>
      <c r="I20">
        <f t="shared" si="3"/>
        <v>0.87875000000000014</v>
      </c>
      <c r="J20">
        <v>16.600000000000001</v>
      </c>
      <c r="K20" s="13">
        <v>8106600</v>
      </c>
      <c r="L20">
        <v>7.49</v>
      </c>
      <c r="M20">
        <f t="shared" si="1"/>
        <v>8379</v>
      </c>
      <c r="N20">
        <v>52</v>
      </c>
      <c r="O20">
        <v>800</v>
      </c>
      <c r="P20" t="s">
        <v>55</v>
      </c>
      <c r="Q20" s="13" t="s">
        <v>29</v>
      </c>
      <c r="R20" t="s">
        <v>31</v>
      </c>
    </row>
    <row r="21" spans="1:18" ht="17.25" customHeight="1" x14ac:dyDescent="0.25">
      <c r="A21" t="s">
        <v>26</v>
      </c>
      <c r="B21" t="s">
        <v>73</v>
      </c>
      <c r="C21">
        <v>50</v>
      </c>
      <c r="D21" s="1">
        <v>7.2222222222222215E-2</v>
      </c>
      <c r="E21">
        <v>0.92800000000000005</v>
      </c>
      <c r="F21">
        <v>0.89</v>
      </c>
      <c r="G21">
        <v>0.94</v>
      </c>
      <c r="H21">
        <v>0.71899999999999997</v>
      </c>
      <c r="I21">
        <f t="shared" si="3"/>
        <v>0.86924999999999997</v>
      </c>
      <c r="J21">
        <v>15.3</v>
      </c>
      <c r="K21" s="13">
        <v>7307532</v>
      </c>
      <c r="L21">
        <v>5.09</v>
      </c>
      <c r="M21">
        <f t="shared" si="1"/>
        <v>8379</v>
      </c>
      <c r="N21">
        <v>52</v>
      </c>
      <c r="O21">
        <v>640</v>
      </c>
      <c r="P21" t="s">
        <v>45</v>
      </c>
      <c r="Q21" s="13" t="s">
        <v>29</v>
      </c>
      <c r="R21" t="s">
        <v>31</v>
      </c>
    </row>
    <row r="22" spans="1:18" ht="17.25" customHeight="1" x14ac:dyDescent="0.25">
      <c r="A22" t="s">
        <v>26</v>
      </c>
      <c r="B22" t="s">
        <v>78</v>
      </c>
      <c r="C22">
        <v>50</v>
      </c>
      <c r="D22" s="1">
        <v>0.18055555555555555</v>
      </c>
      <c r="E22">
        <v>0.95199999999999996</v>
      </c>
      <c r="F22">
        <v>0.9</v>
      </c>
      <c r="G22">
        <v>0.94899999999999995</v>
      </c>
      <c r="H22">
        <v>0.73699999999999999</v>
      </c>
      <c r="I22">
        <f t="shared" si="3"/>
        <v>0.88449999999999995</v>
      </c>
      <c r="J22">
        <v>15.3</v>
      </c>
      <c r="K22" s="13">
        <v>7307532</v>
      </c>
      <c r="L22">
        <v>7.29</v>
      </c>
      <c r="M22">
        <f t="shared" si="1"/>
        <v>8379</v>
      </c>
      <c r="N22">
        <v>52</v>
      </c>
      <c r="O22">
        <v>800</v>
      </c>
      <c r="P22" t="s">
        <v>53</v>
      </c>
      <c r="Q22" s="13" t="s">
        <v>29</v>
      </c>
      <c r="R22" t="s">
        <v>31</v>
      </c>
    </row>
    <row r="23" spans="1:18" ht="17.25" customHeight="1" x14ac:dyDescent="0.25">
      <c r="A23" t="s">
        <v>26</v>
      </c>
      <c r="B23" t="s">
        <v>74</v>
      </c>
      <c r="C23">
        <v>50</v>
      </c>
      <c r="D23" s="1">
        <v>5.5555555555555552E-2</v>
      </c>
      <c r="E23">
        <v>0.93300000000000005</v>
      </c>
      <c r="F23">
        <v>0.86899999999999999</v>
      </c>
      <c r="G23">
        <v>0.93200000000000005</v>
      </c>
      <c r="H23">
        <v>0.71599999999999997</v>
      </c>
      <c r="I23">
        <f t="shared" si="3"/>
        <v>0.86250000000000004</v>
      </c>
      <c r="J23">
        <v>22.5</v>
      </c>
      <c r="K23" s="13">
        <v>11155724</v>
      </c>
      <c r="L23">
        <v>3.81</v>
      </c>
      <c r="M23">
        <f t="shared" si="1"/>
        <v>8379</v>
      </c>
      <c r="N23">
        <v>52</v>
      </c>
      <c r="O23">
        <v>640</v>
      </c>
      <c r="P23" t="s">
        <v>48</v>
      </c>
      <c r="Q23" s="13" t="s">
        <v>29</v>
      </c>
      <c r="R23" t="s">
        <v>31</v>
      </c>
    </row>
    <row r="24" spans="1:18" ht="17.25" customHeight="1" x14ac:dyDescent="0.25">
      <c r="A24" t="s">
        <v>26</v>
      </c>
      <c r="B24" t="s">
        <v>77</v>
      </c>
      <c r="C24">
        <v>50</v>
      </c>
      <c r="D24" s="1">
        <v>7.9861111111111105E-2</v>
      </c>
      <c r="E24">
        <v>0.94299999999999995</v>
      </c>
      <c r="F24">
        <v>0.90200000000000002</v>
      </c>
      <c r="G24">
        <v>0.94599999999999995</v>
      </c>
      <c r="H24">
        <v>0.73499999999999999</v>
      </c>
      <c r="I24">
        <f t="shared" si="3"/>
        <v>0.88149999999999995</v>
      </c>
      <c r="J24">
        <v>22.6</v>
      </c>
      <c r="K24" s="13">
        <v>11155724</v>
      </c>
      <c r="L24">
        <v>5.77</v>
      </c>
      <c r="M24">
        <f t="shared" si="1"/>
        <v>8379</v>
      </c>
      <c r="N24">
        <v>52</v>
      </c>
      <c r="O24">
        <v>800</v>
      </c>
      <c r="P24" t="s">
        <v>54</v>
      </c>
      <c r="Q24" s="13" t="s">
        <v>29</v>
      </c>
      <c r="R24" t="s">
        <v>31</v>
      </c>
    </row>
    <row r="25" spans="1:18" ht="17.25" customHeight="1" x14ac:dyDescent="0.25">
      <c r="A25" t="s">
        <v>26</v>
      </c>
      <c r="B25" t="s">
        <v>75</v>
      </c>
      <c r="C25">
        <v>50</v>
      </c>
      <c r="D25" s="1">
        <v>5.347222222222222E-2</v>
      </c>
      <c r="E25">
        <v>0.90800000000000003</v>
      </c>
      <c r="F25">
        <v>0.878</v>
      </c>
      <c r="G25">
        <v>0.92800000000000005</v>
      </c>
      <c r="H25">
        <v>0.71</v>
      </c>
      <c r="I25">
        <f t="shared" si="3"/>
        <v>0.85599999999999998</v>
      </c>
      <c r="J25">
        <v>18.5</v>
      </c>
      <c r="K25" s="13">
        <v>9142316</v>
      </c>
      <c r="L25">
        <v>3.69</v>
      </c>
      <c r="M25">
        <f t="shared" si="1"/>
        <v>8379</v>
      </c>
      <c r="N25">
        <v>52</v>
      </c>
      <c r="O25">
        <v>640</v>
      </c>
      <c r="P25" t="s">
        <v>51</v>
      </c>
      <c r="Q25" s="13" t="s">
        <v>29</v>
      </c>
      <c r="R25" t="s">
        <v>31</v>
      </c>
    </row>
    <row r="26" spans="1:18" ht="17.25" customHeight="1" x14ac:dyDescent="0.25">
      <c r="A26" t="s">
        <v>26</v>
      </c>
      <c r="B26" t="s">
        <v>76</v>
      </c>
      <c r="C26">
        <v>50</v>
      </c>
      <c r="D26" s="1">
        <v>7.7777777777777779E-2</v>
      </c>
      <c r="E26">
        <v>0.93700000000000006</v>
      </c>
      <c r="F26">
        <v>0.89200000000000002</v>
      </c>
      <c r="G26">
        <v>0.94399999999999995</v>
      </c>
      <c r="H26">
        <v>0.73</v>
      </c>
      <c r="I26">
        <f t="shared" si="3"/>
        <v>0.87575000000000003</v>
      </c>
      <c r="J26">
        <v>18.600000000000001</v>
      </c>
      <c r="K26" s="13">
        <v>9142316</v>
      </c>
      <c r="L26">
        <v>5.5</v>
      </c>
      <c r="M26">
        <f t="shared" si="1"/>
        <v>8379</v>
      </c>
      <c r="N26">
        <v>52</v>
      </c>
      <c r="O26">
        <v>800</v>
      </c>
      <c r="P26" t="s">
        <v>52</v>
      </c>
      <c r="Q26" s="13" t="s">
        <v>29</v>
      </c>
      <c r="R26" t="s">
        <v>31</v>
      </c>
    </row>
    <row r="27" spans="1:18" ht="17.25" customHeight="1" x14ac:dyDescent="0.25"/>
    <row r="28" spans="1:18" ht="17.25" customHeight="1" x14ac:dyDescent="0.25"/>
    <row r="29" spans="1:18" ht="17.25" customHeight="1" x14ac:dyDescent="0.25"/>
    <row r="30" spans="1:18" ht="17.25" customHeight="1" x14ac:dyDescent="0.25"/>
    <row r="31" spans="1:18" ht="17.25" customHeight="1" x14ac:dyDescent="0.25"/>
    <row r="32" spans="1:18" ht="17.25" customHeight="1" x14ac:dyDescent="0.25"/>
    <row r="45" spans="1:1" x14ac:dyDescent="0.25">
      <c r="A45" t="s">
        <v>84</v>
      </c>
    </row>
    <row r="46" spans="1:1" x14ac:dyDescent="0.25">
      <c r="A46" s="11" t="s">
        <v>85</v>
      </c>
    </row>
    <row r="47" spans="1:1" x14ac:dyDescent="0.25">
      <c r="A47" s="11" t="s">
        <v>86</v>
      </c>
    </row>
    <row r="48" spans="1:1" x14ac:dyDescent="0.25">
      <c r="A48" s="11" t="s">
        <v>87</v>
      </c>
    </row>
    <row r="51" spans="1:13" x14ac:dyDescent="0.25">
      <c r="A51" s="22" t="s">
        <v>88</v>
      </c>
      <c r="B51" s="15" t="s">
        <v>89</v>
      </c>
      <c r="C51" s="8" t="s">
        <v>90</v>
      </c>
      <c r="D51" s="14" t="s">
        <v>91</v>
      </c>
      <c r="E51" s="25" t="s">
        <v>92</v>
      </c>
      <c r="F51" s="6" t="s">
        <v>98</v>
      </c>
      <c r="H51" s="22" t="s">
        <v>88</v>
      </c>
      <c r="I51" s="15" t="s">
        <v>89</v>
      </c>
      <c r="J51" s="8" t="s">
        <v>90</v>
      </c>
      <c r="K51" s="23" t="s">
        <v>91</v>
      </c>
      <c r="L51" s="24" t="s">
        <v>92</v>
      </c>
      <c r="M51" s="6" t="s">
        <v>98</v>
      </c>
    </row>
    <row r="52" spans="1:13" x14ac:dyDescent="0.25">
      <c r="A52" s="29" t="s">
        <v>12</v>
      </c>
      <c r="B52" t="s">
        <v>93</v>
      </c>
      <c r="C52">
        <v>24</v>
      </c>
      <c r="D52">
        <f>2+1+1+2+2+1+0+1+1+0.5+1+2+2+1+1+1+0.5+1+0.5</f>
        <v>21.5</v>
      </c>
      <c r="E52">
        <f>D52*100/C52</f>
        <v>89.583333333333329</v>
      </c>
      <c r="F52" s="30">
        <f>AVERAGE(E52:E56)</f>
        <v>80.546980852314846</v>
      </c>
      <c r="H52" s="33" t="s">
        <v>13</v>
      </c>
      <c r="I52" t="s">
        <v>93</v>
      </c>
      <c r="J52">
        <v>24</v>
      </c>
      <c r="K52">
        <f>1+2+1+1.5+1+1+0.5+0.5+1+1.5+2+1+1+1+1+1+1</f>
        <v>19</v>
      </c>
      <c r="L52">
        <f>K52*100/J52</f>
        <v>79.166666666666671</v>
      </c>
      <c r="M52" s="34">
        <f>AVERAGE(L52:L56)</f>
        <v>79.823280463858737</v>
      </c>
    </row>
    <row r="53" spans="1:13" x14ac:dyDescent="0.25">
      <c r="A53" s="29"/>
      <c r="B53" t="s">
        <v>94</v>
      </c>
      <c r="C53">
        <f>4+1+1+2+1+1+1+1+2+2+2+1+1+1+1+1+1+1+1+1+2+1+1+1+1+2+1+3+1+2+2+1+1+2+1+2</f>
        <v>51</v>
      </c>
      <c r="D53">
        <f>4+1+1+2+0.5+0+0.5+0.5+2+2+2+0.5+1+0+1+1+0.5+1+1+0.5+2+0.5+0.5+1+1+2+0+3+1+2+2+1+0.5+2+1+2</f>
        <v>43.5</v>
      </c>
      <c r="E53">
        <f t="shared" ref="E53:E65" si="4">D53*100/C53</f>
        <v>85.294117647058826</v>
      </c>
      <c r="F53" s="30"/>
      <c r="H53" s="34"/>
      <c r="I53" t="s">
        <v>94</v>
      </c>
      <c r="J53">
        <f>4+1+1+2+1+1+1+1+2+2+2+1+1+1+1+1+1+1+1+1+2+1+1+1+1+2+1+3+1+2+2+1+1+2+1+2</f>
        <v>51</v>
      </c>
      <c r="K53">
        <f>5+1+1+1+2+1+0.5+1.5+2+2+1+1+1+1+1+1+1+2+1+0.5+0.5+0.5+1+2+1+2+0.5+2+2+2+0.5+2+0.5+1.5</f>
        <v>45.5</v>
      </c>
      <c r="L53">
        <f t="shared" ref="L53:L56" si="5">K53*100/J53</f>
        <v>89.215686274509807</v>
      </c>
      <c r="M53" s="34"/>
    </row>
    <row r="54" spans="1:13" x14ac:dyDescent="0.25">
      <c r="A54" s="29"/>
      <c r="B54" t="s">
        <v>95</v>
      </c>
      <c r="C54">
        <f>2+5+2+1+1+2+3+1+1+1+1+1+2+1+1+2+2+1+1+1+1+2+1+1+1+1+1+1+1+4+2+2+1+1+1+1+1+1+2+1</f>
        <v>59</v>
      </c>
      <c r="D54">
        <f>2+1+1+1+1+1+1+0.5+1+1+1+1+1+1+1+1+1+1+1+2+1+1+2+2+1+1+1+1+1+1+1+1+1+1+1+1+1+1+1+1+2+2+1+1+2+2</f>
        <v>53.5</v>
      </c>
      <c r="E54">
        <f t="shared" si="4"/>
        <v>90.677966101694921</v>
      </c>
      <c r="F54" s="30"/>
      <c r="H54" s="34"/>
      <c r="I54" t="s">
        <v>95</v>
      </c>
      <c r="J54">
        <f>2+5+2+1+1+2+3+1+1+1+1+1+2+1+1+2+2+1+1+1+1+2+1+1+1+1+1+1+1+4+2+2+1+1+1+1+1+1+2+1</f>
        <v>59</v>
      </c>
      <c r="K54">
        <f>8.5+1+2+0.5+1+1+1+1+1+1+1+1+1+1+1.5+0.5+1+1+1+0.5+1+1+1+1+1+1+1+1+1+4+2+1+1+0.5+1+1+1+1+1+2+1</f>
        <v>53</v>
      </c>
      <c r="L54">
        <f t="shared" si="5"/>
        <v>89.830508474576277</v>
      </c>
      <c r="M54" s="34"/>
    </row>
    <row r="55" spans="1:13" x14ac:dyDescent="0.25">
      <c r="A55" s="29"/>
      <c r="B55" t="s">
        <v>96</v>
      </c>
      <c r="C55">
        <f>1+1+1+1+1+1+1+1+1+1+1+1+1+1+1+1+1+1+1+1+1+1+1+1+1+1+1+1+1+1+1+1+1+1+1+1+1+1+1+1+1+2+1+1+1+1+2+1+2+1+1+1+1+1+1+1+1+1+1+1</f>
        <v>63</v>
      </c>
      <c r="D55">
        <f>1+0+0+1+1+1+1+1+1+0+0.5+1+0+0+0+1+1+0+1+1+1+1+1+0+0+1+1+0+0+0+1+1+1+0+1+1+1+1+0+0+0.5+2+1+0+1+0+2+1+2+0+1+0+1+1+0+1+1+1+1+1</f>
        <v>42</v>
      </c>
      <c r="E55">
        <f t="shared" si="4"/>
        <v>66.666666666666671</v>
      </c>
      <c r="F55" s="30"/>
      <c r="H55" s="34"/>
      <c r="I55" t="s">
        <v>96</v>
      </c>
      <c r="J55">
        <f>1+1+1+1+1+1+1+1+1+1+1+1+1+1+1+1+1+1+1+1+1+1+1+1+1+1+1+1+1+1+1+1+1+1+1+1+1+1+1+1+1+2+1+1+1+1+2+1+2+1+1+1+1+1+1+1+1+1+1+1</f>
        <v>63</v>
      </c>
      <c r="K55">
        <f>1+4+2+2+0.5+1+1+1+1+1+2+1+1+1+1.5+1+1+0.5+1+1+1+1+1+1+1+1+1+1+2+1+1+1+1</f>
        <v>39.5</v>
      </c>
      <c r="L55">
        <f t="shared" si="5"/>
        <v>62.698412698412696</v>
      </c>
      <c r="M55" s="34"/>
    </row>
    <row r="56" spans="1:13" x14ac:dyDescent="0.25">
      <c r="A56" s="29"/>
      <c r="B56" t="s">
        <v>97</v>
      </c>
      <c r="C56">
        <f>3+1+1+2+2+1+1+1+1+3+1+4+2+1+2+1+1+1+4+1+2+1+1+1</f>
        <v>39</v>
      </c>
      <c r="D56">
        <f>2.5+1+1+2+1+1+1+1+0+1+1+1+1+1+1+1+1+1+0.5+0.5+1+2+1+2+0+1+0</f>
        <v>27.5</v>
      </c>
      <c r="E56">
        <f t="shared" si="4"/>
        <v>70.512820512820511</v>
      </c>
      <c r="F56" s="30"/>
      <c r="H56" s="34"/>
      <c r="I56" t="s">
        <v>97</v>
      </c>
      <c r="J56">
        <f>3+1+1+2+2+1+1+1+1+3+1+4+2+1+2+1+1+1+4+1+2+1+1+1</f>
        <v>39</v>
      </c>
      <c r="K56">
        <f>3+1+1+2+2+1+1+1+1+1+0.5+1+2+1+1+1+1+1+1+1+2+1+2+1</f>
        <v>30.5</v>
      </c>
      <c r="L56">
        <f t="shared" si="5"/>
        <v>78.205128205128204</v>
      </c>
      <c r="M56" s="34"/>
    </row>
    <row r="57" spans="1:13" x14ac:dyDescent="0.25">
      <c r="A57" s="28" t="s">
        <v>99</v>
      </c>
      <c r="B57" t="s">
        <v>93</v>
      </c>
      <c r="C57">
        <v>24</v>
      </c>
      <c r="D57">
        <f>1.5+1+0.5+1.5+2+0.5+1+1+0.5+0.5+0.5+1.5+1.5+1+1+1+0.5+1+0.5</f>
        <v>18.5</v>
      </c>
      <c r="E57">
        <f>D57*100/C57</f>
        <v>77.083333333333329</v>
      </c>
      <c r="F57" s="31">
        <f>AVERAGE(E57:E61)</f>
        <v>76.805905543442933</v>
      </c>
      <c r="H57" s="35" t="s">
        <v>100</v>
      </c>
      <c r="I57" t="s">
        <v>93</v>
      </c>
      <c r="J57">
        <v>24</v>
      </c>
      <c r="K57">
        <f>2+1+2+2+1+1+1+1+1+2+2+1+1+1+1+1+1+0.5</f>
        <v>22.5</v>
      </c>
      <c r="L57">
        <f>K57*100/J57</f>
        <v>93.75</v>
      </c>
      <c r="M57" s="36">
        <f>AVERAGE(L57:L61)</f>
        <v>81.878806498696832</v>
      </c>
    </row>
    <row r="58" spans="1:13" x14ac:dyDescent="0.25">
      <c r="A58" s="28"/>
      <c r="B58" t="s">
        <v>94</v>
      </c>
      <c r="C58">
        <f>4+1+1+2+1+1+1+1+2+2+2+1+1+1+1+1+1+1+1+1+2+1+1+1+1+2+1+3+1+2+2+1+1+2+1+2</f>
        <v>51</v>
      </c>
      <c r="D58">
        <f>4+1+1+2+1+1+2+0.5+2+2+0.5+1+1+1+0.5+1+1+0.5+2+0.5+0.5+1+1+2+1+2+1+1.5+1+1+0.5+1+2+0.5+2</f>
        <v>43.5</v>
      </c>
      <c r="E58">
        <f t="shared" si="4"/>
        <v>85.294117647058826</v>
      </c>
      <c r="F58" s="31"/>
      <c r="H58" s="36"/>
      <c r="I58" t="s">
        <v>94</v>
      </c>
      <c r="J58">
        <f>4+1+1+2+1+1+1+1+2+2+2+1+1+1+1+1+1+1+1+1+2+1+1+1+1+2+1+3+1+2+2+1+1+2+1+2</f>
        <v>51</v>
      </c>
      <c r="K58">
        <f>4+1+2+1+2+1+1+2+2+2+1+1+1+1+1+1+1+1+2+1+0.5+1+1+2+1+2+1+1+2+2+1+2+2</f>
        <v>47.5</v>
      </c>
      <c r="L58">
        <f t="shared" ref="L58:L65" si="6">K58*100/J58</f>
        <v>93.137254901960787</v>
      </c>
      <c r="M58" s="36"/>
    </row>
    <row r="59" spans="1:13" x14ac:dyDescent="0.25">
      <c r="A59" s="28"/>
      <c r="B59" t="s">
        <v>95</v>
      </c>
      <c r="C59">
        <f>2+5+2+1+1+2+3+1+1+1+1+1+2+1+1+2+2+1+1+1+1+2+1+1+1+1+1+1+1+4+2+2+1+1+1+1+1+1+2+1</f>
        <v>59</v>
      </c>
      <c r="D59">
        <f>2+2+1+1+2+0.5+3+2+1+1+1+1+1+2+1+2+1+1+1+1+0.5+0.5+2+0.5+1+3+4+2+2+1+1+1+1+1+1+1+1+1</f>
        <v>52</v>
      </c>
      <c r="E59">
        <f t="shared" si="4"/>
        <v>88.13559322033899</v>
      </c>
      <c r="F59" s="31"/>
      <c r="H59" s="36"/>
      <c r="I59" t="s">
        <v>95</v>
      </c>
      <c r="J59">
        <f>2+5+2+1+1+2+3+1+1+1+1+1+2+1+1+2+2+1+1+1+1+2+1+1+1+1+1+1+1+4+2+2+1+1+1+1+1+1+2+1</f>
        <v>59</v>
      </c>
      <c r="K59">
        <f>9+1+1+1+1+1+1+1+1+1+1+1+1+1+2+2+0.5+1+1+2+0.5+1+1+2+1+4+2+1+2+1+1+1+1+2+1</f>
        <v>52</v>
      </c>
      <c r="L59">
        <f t="shared" si="6"/>
        <v>88.13559322033899</v>
      </c>
      <c r="M59" s="36"/>
    </row>
    <row r="60" spans="1:13" x14ac:dyDescent="0.25">
      <c r="A60" s="28"/>
      <c r="B60" t="s">
        <v>96</v>
      </c>
      <c r="C60">
        <f>1+1+1+1+1+1+1+1+1+1+1+1+1+1+1+1+1+1+1+1+1+1+1+1+1+1+1+1+1+1+1+1+1+1+1+1+1+1+1+1+1+2+1+1+1+1+2+1+2+1+1+1+1+1+1+1+1+1+1+1</f>
        <v>63</v>
      </c>
      <c r="D60">
        <f>1+1+1+1+1+2+1+0.5+0.5+1+1+1+1+2+0.5+1.5+1+1+1+1+1+1+2+0.5+0.5+1+1+1+1+1+0.5+1+2+0.5+1+1+1+0.5+1+1</f>
        <v>40.5</v>
      </c>
      <c r="E60">
        <f t="shared" si="4"/>
        <v>64.285714285714292</v>
      </c>
      <c r="F60" s="31"/>
      <c r="H60" s="36"/>
      <c r="I60" t="s">
        <v>96</v>
      </c>
      <c r="J60">
        <f>1+1+1+1+1+1+1+1+1+1+1+1+1+1+1+1+1+1+1+1+1+1+1+1+1+1+1+1+1+1+1+1+1+1+1+1+1+1+1+1+1+2+1+1+1+1+2+1+2+1+1+1+1+1+1+1+1+1+1+1</f>
        <v>63</v>
      </c>
      <c r="K60">
        <f>1+2+2+2+2+1+1+1+1+1+1+1+2+1+2+0.5+2+2+1+2+1+1+1+1+1+0.5+1+2</f>
        <v>37</v>
      </c>
      <c r="L60">
        <f t="shared" si="6"/>
        <v>58.730158730158728</v>
      </c>
      <c r="M60" s="36"/>
    </row>
    <row r="61" spans="1:13" x14ac:dyDescent="0.25">
      <c r="A61" s="28"/>
      <c r="B61" t="s">
        <v>97</v>
      </c>
      <c r="C61">
        <f>3+1+1+2+2+1+1+1+1+3+1+4+2+1+2+1+1+1+4+1+2+1+1+1</f>
        <v>39</v>
      </c>
      <c r="D61">
        <f>3+1+1+2+1+1+1+1+1+1+0.5+1+2+1+1+0.5+1+0+1+1+1+1+2+0+1</f>
        <v>27</v>
      </c>
      <c r="E61">
        <f t="shared" si="4"/>
        <v>69.230769230769226</v>
      </c>
      <c r="F61" s="31"/>
      <c r="H61" s="36"/>
      <c r="I61" t="s">
        <v>97</v>
      </c>
      <c r="J61">
        <f>3+1+1+2+2+1+1+1+1+3+1+4+2+1+2+1+1+1+4+1+2+1+1+1</f>
        <v>39</v>
      </c>
      <c r="K61">
        <f>3+1+1+2+1+1+1+1+1+1+1+1+1+2+1+1+1+1+0.5+1+2+1+2+1</f>
        <v>29.5</v>
      </c>
      <c r="L61">
        <f t="shared" si="6"/>
        <v>75.641025641025635</v>
      </c>
      <c r="M61" s="36"/>
    </row>
    <row r="62" spans="1:13" x14ac:dyDescent="0.25">
      <c r="A62" s="32" t="s">
        <v>14</v>
      </c>
      <c r="B62" t="s">
        <v>93</v>
      </c>
      <c r="C62">
        <v>24</v>
      </c>
      <c r="D62">
        <f>0.5+1.5+2+1.5+0.5+1+0.5+0.5+1+1.5+2+1+1+1+0.5+0.5+0.5</f>
        <v>17</v>
      </c>
      <c r="E62">
        <f t="shared" si="4"/>
        <v>70.833333333333329</v>
      </c>
      <c r="F62" s="32">
        <f>AVERAGE(E62:E66)</f>
        <v>73.602400977774863</v>
      </c>
      <c r="H62" s="37" t="s">
        <v>15</v>
      </c>
      <c r="I62" t="s">
        <v>93</v>
      </c>
      <c r="J62">
        <v>24</v>
      </c>
      <c r="K62">
        <f>1.5+1+0.5+2+2+1+1+0.5+1+0.5+2+2+1+1+0.5+1+1+0.5</f>
        <v>20</v>
      </c>
      <c r="L62">
        <f t="shared" si="6"/>
        <v>83.333333333333329</v>
      </c>
      <c r="M62" s="38">
        <f>AVERAGE(L62:L66)</f>
        <v>80.971907233123588</v>
      </c>
    </row>
    <row r="63" spans="1:13" x14ac:dyDescent="0.25">
      <c r="A63" s="32"/>
      <c r="B63" t="s">
        <v>94</v>
      </c>
      <c r="C63">
        <f>4+1+1+2+1+1+1+1+2+2+2+1+1+1+1+1+1+1+1+1+2+1+1+1+1+2+1+3+1+2+2+1+1+2+1+2</f>
        <v>51</v>
      </c>
      <c r="D63">
        <f>5+2+0.5+1+0.5+2+1.5+2+0.5+1+1+1+1+1+1+1+2+0.5+0.5+1+1+3+1+2+0.5+2+1+1+1+1+0.5+2+2</f>
        <v>44</v>
      </c>
      <c r="E63">
        <f t="shared" si="4"/>
        <v>86.274509803921575</v>
      </c>
      <c r="F63" s="32"/>
      <c r="H63" s="38"/>
      <c r="I63" t="s">
        <v>94</v>
      </c>
      <c r="J63">
        <f>4+1+1+2+1+1+1+1+2+2+2+1+1+1+1+1+1+1+1+1+2+1+1+1+1+2+1+3+1+2+2+1+1+2+1+2</f>
        <v>51</v>
      </c>
      <c r="K63">
        <f>4+1+1+2+1+1+2+2+2+1+1+1+1+0.5+1+1+1+2+0.5+0.5+1+2+1+2+1+1+1.5+2+2+1+2+2</f>
        <v>45</v>
      </c>
      <c r="L63">
        <f t="shared" si="6"/>
        <v>88.235294117647058</v>
      </c>
      <c r="M63" s="38"/>
    </row>
    <row r="64" spans="1:13" x14ac:dyDescent="0.25">
      <c r="A64" s="32"/>
      <c r="B64" t="s">
        <v>95</v>
      </c>
      <c r="C64">
        <f>2+5+2+1+1+2+3+1+1+1+1+1+2+1+1+2+2+1+1+1+1+2+1+1+1+1+1+1+1+4+2+2+1+1+1+1+1+1+2+1</f>
        <v>59</v>
      </c>
      <c r="D64">
        <f>2+2+1+1+1+1+0.5+0+3+2+1+0.5+1+1+1+2+1+1+2+2+0.5+1+1+1+1+0.5+0.5+1+0.5+2+2+2+2+1+1+2+2+1</f>
        <v>48</v>
      </c>
      <c r="E64">
        <f t="shared" si="4"/>
        <v>81.355932203389827</v>
      </c>
      <c r="F64" s="32"/>
      <c r="H64" s="38"/>
      <c r="I64" t="s">
        <v>95</v>
      </c>
      <c r="J64">
        <f>2+5+2+1+1+2+3+1+1+1+1+1+2+1+1+2+2+1+1+1+1+2+1+1+1+1+1+1+1+4+2+2+1+1+1+1+1+1+2+1</f>
        <v>59</v>
      </c>
      <c r="K64">
        <f>2+1+1+1+1+1+1+1+1+1+1+2+1+1+1+1+1+2+1+2+1+1+1+1+1+2+1+1+1+1+1+2+4+2+1+2+1+1+0.5+1+2+1</f>
        <v>53.5</v>
      </c>
      <c r="L64">
        <f t="shared" si="6"/>
        <v>90.677966101694921</v>
      </c>
      <c r="M64" s="38"/>
    </row>
    <row r="65" spans="1:19" x14ac:dyDescent="0.25">
      <c r="A65" s="32"/>
      <c r="B65" t="s">
        <v>96</v>
      </c>
      <c r="C65">
        <f>1+1+1+1+1+1+1+1+1+1+1+1+1+1+1+1+1+1+1+1+1+1+1+1+1+1+1+1+1+1+1+1+1+1+1+1+1+1+1+1+1+2+1+1+1+1+2+1+2+1+1+1+1+1+1+1+1+1+1+1</f>
        <v>63</v>
      </c>
      <c r="D65">
        <f>1+1+2+1+2+2+1+1+1+1+1+1+1+1+1+1+1+0.5+1+1+1+1+1+1+0.5+1+2+1+1+1+1+1+1+1+1</f>
        <v>38</v>
      </c>
      <c r="E65">
        <f t="shared" si="4"/>
        <v>60.317460317460316</v>
      </c>
      <c r="F65" s="32"/>
      <c r="H65" s="38"/>
      <c r="I65" t="s">
        <v>96</v>
      </c>
      <c r="J65">
        <f>1+1+1+1+1+1+1+1+1+1+1+1+1+1+1+1+1+1+1+1+1+1+1+1+1+1+1+1+1+1+1+1+1+1+1+1+1+1+1+1+1+2+1+1+1+1+2+1+2+1+1+1+1+1+1+1+1+1+1+1</f>
        <v>63</v>
      </c>
      <c r="K65">
        <f>1+1+1+2+3+2+1+1+1+2+1+2+1+1+1+1+1+1+0.5+2+1+2+1+1+1+1+1+1+1+1+1+1+1+1+0.5+1</f>
        <v>43</v>
      </c>
      <c r="L65">
        <f t="shared" si="6"/>
        <v>68.253968253968253</v>
      </c>
      <c r="M65" s="38"/>
    </row>
    <row r="66" spans="1:19" x14ac:dyDescent="0.25">
      <c r="A66" s="32"/>
      <c r="B66" t="s">
        <v>97</v>
      </c>
      <c r="C66">
        <f>3+1+1+2+2+1+1+1+1+3+1+4+2+1+2+1+1+1+4+1+2+1+1+1</f>
        <v>39</v>
      </c>
      <c r="D66">
        <f>2+1+1+2+1+1+1+1+1+1+1+0.5+2+1+1+1+0.5+1+1+2+1+2+0+1</f>
        <v>27</v>
      </c>
      <c r="E66">
        <f>D66*100/C66</f>
        <v>69.230769230769226</v>
      </c>
      <c r="F66" s="32"/>
      <c r="H66" s="38"/>
      <c r="I66" t="s">
        <v>97</v>
      </c>
      <c r="J66">
        <f>3+1+1+2+2+1+1+1+1+3+1+4+2+1+2+1+1+1+4+1+2+1+1+1</f>
        <v>39</v>
      </c>
      <c r="K66">
        <f>3+1+1+2+2+1+1+0.5+1+1+1+1+2+1+1+1+1+0.5+1+2+1+2+1</f>
        <v>29</v>
      </c>
      <c r="L66">
        <f>K66*100/J66</f>
        <v>74.358974358974365</v>
      </c>
      <c r="M66" s="38"/>
    </row>
    <row r="74" spans="1:19" x14ac:dyDescent="0.25">
      <c r="A74" s="10" t="s">
        <v>27</v>
      </c>
      <c r="B74" s="2" t="s">
        <v>0</v>
      </c>
      <c r="C74" s="19" t="s">
        <v>34</v>
      </c>
      <c r="D74" s="3" t="s">
        <v>1</v>
      </c>
      <c r="E74" s="4" t="s">
        <v>2</v>
      </c>
      <c r="F74" s="5" t="s">
        <v>3</v>
      </c>
      <c r="G74" s="6" t="s">
        <v>4</v>
      </c>
      <c r="H74" s="7" t="s">
        <v>5</v>
      </c>
      <c r="I74" s="20" t="s">
        <v>35</v>
      </c>
      <c r="J74" s="16" t="s">
        <v>10</v>
      </c>
      <c r="K74" s="17" t="s">
        <v>11</v>
      </c>
      <c r="L74" s="21" t="s">
        <v>83</v>
      </c>
      <c r="M74" s="8" t="s">
        <v>6</v>
      </c>
      <c r="N74" s="9" t="s">
        <v>7</v>
      </c>
      <c r="O74" s="12" t="s">
        <v>8</v>
      </c>
      <c r="P74" s="7" t="s">
        <v>9</v>
      </c>
      <c r="Q74" s="18" t="s">
        <v>28</v>
      </c>
      <c r="R74" s="8" t="s">
        <v>30</v>
      </c>
      <c r="S74" s="3" t="s">
        <v>103</v>
      </c>
    </row>
    <row r="75" spans="1:19" x14ac:dyDescent="0.25">
      <c r="A75" t="s">
        <v>16</v>
      </c>
      <c r="B75" t="s">
        <v>12</v>
      </c>
      <c r="C75">
        <v>50</v>
      </c>
      <c r="D75" s="1">
        <v>0.29652777777777778</v>
      </c>
      <c r="E75">
        <v>0.96399999999999997</v>
      </c>
      <c r="F75">
        <v>0.95099999999999996</v>
      </c>
      <c r="G75">
        <v>0.96699999999999997</v>
      </c>
      <c r="H75">
        <v>0.94299999999999995</v>
      </c>
      <c r="I75">
        <f>AVERAGE(E75:H75)</f>
        <v>0.95625000000000004</v>
      </c>
      <c r="J75" t="s">
        <v>101</v>
      </c>
      <c r="K75" s="13">
        <v>2578188</v>
      </c>
      <c r="L75" t="s">
        <v>101</v>
      </c>
      <c r="M75">
        <f>12640+39209</f>
        <v>51849</v>
      </c>
      <c r="N75">
        <v>43</v>
      </c>
      <c r="O75" t="s">
        <v>17</v>
      </c>
      <c r="P75" t="s">
        <v>101</v>
      </c>
      <c r="Q75" s="13" t="s">
        <v>29</v>
      </c>
      <c r="R75" t="s">
        <v>31</v>
      </c>
      <c r="S75" s="11" t="s">
        <v>18</v>
      </c>
    </row>
    <row r="76" spans="1:19" x14ac:dyDescent="0.25">
      <c r="A76" t="s">
        <v>19</v>
      </c>
      <c r="B76" t="s">
        <v>59</v>
      </c>
      <c r="C76">
        <v>50</v>
      </c>
      <c r="D76" s="1">
        <v>1.4583333333333334E-2</v>
      </c>
      <c r="E76">
        <v>0.627</v>
      </c>
      <c r="F76">
        <v>0.64300000000000002</v>
      </c>
      <c r="G76">
        <v>0.69799999999999995</v>
      </c>
      <c r="H76">
        <v>0.53300000000000003</v>
      </c>
      <c r="I76">
        <f t="shared" ref="I76:I81" si="7">AVERAGE(E76:H76)</f>
        <v>0.62524999999999997</v>
      </c>
      <c r="J76">
        <v>5.6</v>
      </c>
      <c r="K76" s="13">
        <v>2578188</v>
      </c>
      <c r="L76">
        <v>6.11</v>
      </c>
      <c r="M76">
        <v>1311</v>
      </c>
      <c r="N76">
        <v>43</v>
      </c>
      <c r="O76" t="s">
        <v>20</v>
      </c>
      <c r="P76" t="s">
        <v>102</v>
      </c>
      <c r="Q76" s="13" t="s">
        <v>29</v>
      </c>
      <c r="R76" t="s">
        <v>31</v>
      </c>
      <c r="S76" s="11" t="s">
        <v>21</v>
      </c>
    </row>
    <row r="77" spans="1:19" x14ac:dyDescent="0.25">
      <c r="A77" t="s">
        <v>23</v>
      </c>
      <c r="B77" t="s">
        <v>59</v>
      </c>
      <c r="C77">
        <v>50</v>
      </c>
      <c r="D77" s="1">
        <v>4.4444444444444446E-2</v>
      </c>
      <c r="E77">
        <v>0.94599999999999995</v>
      </c>
      <c r="F77">
        <v>0.91200000000000003</v>
      </c>
      <c r="G77">
        <v>0.96599999999999997</v>
      </c>
      <c r="H77">
        <v>0.84099999999999997</v>
      </c>
      <c r="I77">
        <f t="shared" si="7"/>
        <v>0.91625000000000001</v>
      </c>
      <c r="J77">
        <v>5.6</v>
      </c>
      <c r="K77" s="13">
        <v>2578188</v>
      </c>
      <c r="L77">
        <v>6.02</v>
      </c>
      <c r="M77">
        <f>801+3530</f>
        <v>4331</v>
      </c>
      <c r="N77">
        <v>15</v>
      </c>
      <c r="O77" t="s">
        <v>20</v>
      </c>
      <c r="P77" t="s">
        <v>104</v>
      </c>
      <c r="Q77" s="13" t="s">
        <v>29</v>
      </c>
      <c r="R77" t="s">
        <v>31</v>
      </c>
      <c r="S77" s="11" t="s">
        <v>22</v>
      </c>
    </row>
    <row r="78" spans="1:19" x14ac:dyDescent="0.25">
      <c r="A78" t="s">
        <v>111</v>
      </c>
      <c r="B78" t="s">
        <v>59</v>
      </c>
      <c r="C78">
        <v>50</v>
      </c>
      <c r="D78" s="1">
        <v>4.583333333333333E-2</v>
      </c>
      <c r="E78">
        <v>0.83299999999999996</v>
      </c>
      <c r="F78">
        <v>0.79900000000000004</v>
      </c>
      <c r="G78">
        <v>0.85499999999999998</v>
      </c>
      <c r="H78">
        <v>0.755</v>
      </c>
      <c r="I78">
        <f t="shared" si="7"/>
        <v>0.8105</v>
      </c>
      <c r="J78">
        <v>5.6</v>
      </c>
      <c r="K78" s="13">
        <v>2578188</v>
      </c>
      <c r="L78">
        <v>6.13</v>
      </c>
      <c r="M78">
        <f>3253+1128</f>
        <v>4381</v>
      </c>
      <c r="N78">
        <v>55</v>
      </c>
      <c r="O78" t="s">
        <v>24</v>
      </c>
      <c r="P78" t="s">
        <v>105</v>
      </c>
      <c r="Q78" s="13" t="s">
        <v>29</v>
      </c>
      <c r="R78" t="s">
        <v>31</v>
      </c>
      <c r="S78" s="11" t="s">
        <v>25</v>
      </c>
    </row>
    <row r="79" spans="1:19" x14ac:dyDescent="0.25">
      <c r="A79" s="26" t="s">
        <v>110</v>
      </c>
      <c r="B79" t="s">
        <v>59</v>
      </c>
      <c r="C79">
        <v>50</v>
      </c>
      <c r="D79" s="1">
        <v>1.7361111111111112E-2</v>
      </c>
      <c r="E79">
        <v>0.56000000000000005</v>
      </c>
      <c r="F79">
        <v>0.64</v>
      </c>
      <c r="G79">
        <v>0.623</v>
      </c>
      <c r="H79">
        <v>0.47799999999999998</v>
      </c>
      <c r="I79">
        <f t="shared" si="7"/>
        <v>0.57525000000000004</v>
      </c>
      <c r="J79">
        <v>5.6</v>
      </c>
      <c r="K79" s="13">
        <v>2578188</v>
      </c>
      <c r="L79">
        <v>6.01</v>
      </c>
      <c r="M79">
        <v>1738</v>
      </c>
      <c r="N79">
        <v>36</v>
      </c>
      <c r="O79" t="s">
        <v>20</v>
      </c>
      <c r="P79" t="s">
        <v>106</v>
      </c>
      <c r="Q79" s="13" t="s">
        <v>29</v>
      </c>
      <c r="R79" t="s">
        <v>31</v>
      </c>
      <c r="S79" s="11" t="s">
        <v>114</v>
      </c>
    </row>
    <row r="80" spans="1:19" x14ac:dyDescent="0.25">
      <c r="A80" t="s">
        <v>112</v>
      </c>
      <c r="B80" t="s">
        <v>59</v>
      </c>
      <c r="C80">
        <v>50</v>
      </c>
      <c r="D80" s="1">
        <v>5.1388888888888887E-2</v>
      </c>
      <c r="E80">
        <v>0.98899999999999999</v>
      </c>
      <c r="F80">
        <v>0.99399999999999999</v>
      </c>
      <c r="G80">
        <v>0.995</v>
      </c>
      <c r="H80">
        <v>0.91300000000000003</v>
      </c>
      <c r="I80">
        <f t="shared" si="7"/>
        <v>0.97275</v>
      </c>
      <c r="J80">
        <v>5.6</v>
      </c>
      <c r="K80" s="13">
        <v>2578188</v>
      </c>
      <c r="L80">
        <v>6.06</v>
      </c>
      <c r="M80">
        <v>5157</v>
      </c>
      <c r="N80">
        <v>43</v>
      </c>
      <c r="O80" t="s">
        <v>20</v>
      </c>
      <c r="P80" t="s">
        <v>107</v>
      </c>
      <c r="Q80" s="13" t="s">
        <v>29</v>
      </c>
      <c r="R80" t="s">
        <v>31</v>
      </c>
      <c r="S80" s="11" t="s">
        <v>113</v>
      </c>
    </row>
    <row r="81" spans="1:19" x14ac:dyDescent="0.25">
      <c r="A81" t="s">
        <v>115</v>
      </c>
      <c r="B81" t="s">
        <v>59</v>
      </c>
      <c r="C81">
        <v>50</v>
      </c>
      <c r="D81" s="1">
        <v>0.25138888888888888</v>
      </c>
      <c r="E81">
        <v>0.86299999999999999</v>
      </c>
      <c r="F81">
        <v>0.67400000000000004</v>
      </c>
      <c r="G81">
        <v>0.80300000000000005</v>
      </c>
      <c r="H81">
        <v>0.67300000000000004</v>
      </c>
      <c r="I81">
        <f t="shared" si="7"/>
        <v>0.75324999999999998</v>
      </c>
      <c r="J81">
        <v>5.6</v>
      </c>
      <c r="K81" s="13">
        <v>2578188</v>
      </c>
      <c r="L81">
        <v>6.16</v>
      </c>
      <c r="M81" s="27">
        <v>24221</v>
      </c>
      <c r="N81">
        <v>50</v>
      </c>
      <c r="O81" t="s">
        <v>116</v>
      </c>
      <c r="P81" t="s">
        <v>117</v>
      </c>
      <c r="Q81" s="13" t="s">
        <v>29</v>
      </c>
      <c r="R81" t="s">
        <v>31</v>
      </c>
      <c r="S81" s="11" t="s">
        <v>118</v>
      </c>
    </row>
    <row r="82" spans="1:19" x14ac:dyDescent="0.25">
      <c r="M82" s="11"/>
      <c r="Q82" s="13"/>
    </row>
    <row r="83" spans="1:19" x14ac:dyDescent="0.25">
      <c r="M83" s="11"/>
      <c r="Q83" s="13"/>
    </row>
    <row r="85" spans="1:19" x14ac:dyDescent="0.25">
      <c r="A85" s="22" t="s">
        <v>88</v>
      </c>
      <c r="B85" s="15" t="s">
        <v>89</v>
      </c>
      <c r="C85" s="8" t="s">
        <v>90</v>
      </c>
      <c r="D85" s="14" t="s">
        <v>91</v>
      </c>
      <c r="E85" s="25" t="s">
        <v>92</v>
      </c>
      <c r="F85" s="6" t="s">
        <v>98</v>
      </c>
    </row>
    <row r="86" spans="1:19" x14ac:dyDescent="0.25">
      <c r="A86" s="29" t="s">
        <v>19</v>
      </c>
      <c r="B86" t="s">
        <v>93</v>
      </c>
      <c r="C86">
        <v>24</v>
      </c>
      <c r="D86">
        <f>1+0.5+1+1+1+0.5</f>
        <v>5</v>
      </c>
      <c r="E86">
        <f>D86*100/C86</f>
        <v>20.833333333333332</v>
      </c>
      <c r="F86" s="30">
        <f>AVERAGE(E86:E90)</f>
        <v>21.733027413486038</v>
      </c>
    </row>
    <row r="87" spans="1:19" x14ac:dyDescent="0.25">
      <c r="A87" s="29"/>
      <c r="B87" t="s">
        <v>94</v>
      </c>
      <c r="C87">
        <f>4+1+1+2+1+1+1+1+2+2+2+1+1+1+1+1+1+1+1+1+2+1+1+1+1+2+1+3+1+2+2+1+1+2+1+2</f>
        <v>51</v>
      </c>
      <c r="D87">
        <f>2+1+1+0.5+0.5+1+1+1+0.5+1+1+1+1+1+1+1+1+1+1</f>
        <v>18.5</v>
      </c>
      <c r="E87">
        <f t="shared" ref="E87:E90" si="8">D87*100/C87</f>
        <v>36.274509803921568</v>
      </c>
      <c r="F87" s="30"/>
    </row>
    <row r="88" spans="1:19" x14ac:dyDescent="0.25">
      <c r="A88" s="29"/>
      <c r="B88" t="s">
        <v>95</v>
      </c>
      <c r="C88">
        <f>2+5+2+1+1+2+3+1+1+1+1+1+2+1+1+2+2+1+1+1+1+2+1+1+1+1+1+1+1+4+2+2+1+1+1+1+1+1+2+1</f>
        <v>59</v>
      </c>
      <c r="D88">
        <f>1+0.5+1+0.5+0.5+1+1+1+1+1+1+1</f>
        <v>10.5</v>
      </c>
      <c r="E88">
        <f t="shared" si="8"/>
        <v>17.796610169491526</v>
      </c>
      <c r="F88" s="30"/>
    </row>
    <row r="89" spans="1:19" x14ac:dyDescent="0.25">
      <c r="A89" s="29"/>
      <c r="B89" t="s">
        <v>96</v>
      </c>
      <c r="C89">
        <f>1+1+1+1+1+1+1+1+1+1+1+1+1+1+1+1+1+1+1+1+1+1+1+1+1+1+1+1+1+1+1+1+1+1+1+1+1+1+1+1+1+2+1+1+1+1+2+1+2+1+1+1+1+1+1+1+1+1+1+1</f>
        <v>63</v>
      </c>
      <c r="D89">
        <f>2+1+1+1+1+1+1+1+1+1+1+1+1</f>
        <v>14</v>
      </c>
      <c r="E89">
        <f t="shared" si="8"/>
        <v>22.222222222222221</v>
      </c>
      <c r="F89" s="30"/>
    </row>
    <row r="90" spans="1:19" x14ac:dyDescent="0.25">
      <c r="A90" s="29"/>
      <c r="B90" t="s">
        <v>97</v>
      </c>
      <c r="C90">
        <f>3+1+1+2+2+1+1+1+1+3+1+4+2+1+2+1+1+1+4+1+2+1+1+1</f>
        <v>39</v>
      </c>
      <c r="D90">
        <f>1+0.5+1+1+1</f>
        <v>4.5</v>
      </c>
      <c r="E90">
        <f t="shared" si="8"/>
        <v>11.538461538461538</v>
      </c>
      <c r="F90" s="30"/>
    </row>
    <row r="91" spans="1:19" x14ac:dyDescent="0.25">
      <c r="A91" s="40" t="s">
        <v>108</v>
      </c>
      <c r="B91" t="s">
        <v>93</v>
      </c>
      <c r="C91">
        <v>24</v>
      </c>
      <c r="D91">
        <f>1+1</f>
        <v>2</v>
      </c>
      <c r="E91">
        <f>D91*100/C91</f>
        <v>8.3333333333333339</v>
      </c>
      <c r="F91" s="31">
        <f>AVERAGE(E91:E95)</f>
        <v>14.076835427782587</v>
      </c>
    </row>
    <row r="92" spans="1:19" x14ac:dyDescent="0.25">
      <c r="A92" s="28"/>
      <c r="B92" t="s">
        <v>94</v>
      </c>
      <c r="C92">
        <f>4+1+1+2+1+1+1+1+2+2+2+1+1+1+1+1+1+1+1+1+2+1+1+1+1+2+1+3+1+2+2+1+1+2+1+2</f>
        <v>51</v>
      </c>
      <c r="D92">
        <f>3+0.5+0.5+2+2+1+2+3</f>
        <v>14</v>
      </c>
      <c r="E92">
        <f t="shared" ref="E92:E104" si="9">D92*100/C92</f>
        <v>27.450980392156861</v>
      </c>
      <c r="F92" s="31"/>
    </row>
    <row r="93" spans="1:19" x14ac:dyDescent="0.25">
      <c r="A93" s="28"/>
      <c r="B93" t="s">
        <v>95</v>
      </c>
      <c r="C93">
        <f>2+5+2+1+1+2+3+1+1+1+1+1+2+1+1+2+2+1+1+1+1+2+1+1+1+1+1+1+1+4+2+2+1+1+1+1+1+1+2+1</f>
        <v>59</v>
      </c>
      <c r="D93">
        <f>0.5+1+1+1+1+1+1+1+1+1</f>
        <v>9.5</v>
      </c>
      <c r="E93">
        <f t="shared" si="9"/>
        <v>16.101694915254239</v>
      </c>
      <c r="F93" s="31"/>
    </row>
    <row r="94" spans="1:19" x14ac:dyDescent="0.25">
      <c r="A94" s="28"/>
      <c r="B94" t="s">
        <v>96</v>
      </c>
      <c r="C94">
        <f>1+1+1+1+1+1+1+1+1+1+1+1+1+1+1+1+1+1+1+1+1+1+1+1+1+1+1+1+1+1+1+1+1+1+1+1+1+1+1+1+1+2+1+1+1+1+2+1+2+1+1+1+1+1+1+1+1+1+1+1</f>
        <v>63</v>
      </c>
      <c r="D94">
        <f>1+2+3</f>
        <v>6</v>
      </c>
      <c r="E94">
        <f t="shared" si="9"/>
        <v>9.5238095238095237</v>
      </c>
      <c r="F94" s="31"/>
    </row>
    <row r="95" spans="1:19" x14ac:dyDescent="0.25">
      <c r="A95" s="28"/>
      <c r="B95" t="s">
        <v>97</v>
      </c>
      <c r="C95">
        <f>3+1+1+2+2+1+1+1+1+3+1+4+2+1+2+1+1+1+4+1+2+1+1+1</f>
        <v>39</v>
      </c>
      <c r="D95">
        <f>1+0.5+0.5+0.5+0.5+0.5</f>
        <v>3.5</v>
      </c>
      <c r="E95">
        <f t="shared" si="9"/>
        <v>8.9743589743589745</v>
      </c>
      <c r="F95" s="31"/>
    </row>
    <row r="96" spans="1:19" x14ac:dyDescent="0.25">
      <c r="A96" s="32" t="s">
        <v>109</v>
      </c>
      <c r="B96" t="s">
        <v>93</v>
      </c>
      <c r="C96">
        <v>24</v>
      </c>
      <c r="D96">
        <f>2+1+0.5+2+1+1+2+1+1+0.5+1+1+0.5+1</f>
        <v>15.5</v>
      </c>
      <c r="E96">
        <f t="shared" si="9"/>
        <v>64.583333333333329</v>
      </c>
      <c r="F96" s="32">
        <f>AVERAGE(E96:E100)</f>
        <v>57.700398499251932</v>
      </c>
    </row>
    <row r="97" spans="1:6" x14ac:dyDescent="0.25">
      <c r="A97" s="32"/>
      <c r="B97" t="s">
        <v>94</v>
      </c>
      <c r="C97">
        <f>4+1+1+2+1+1+1+1+2+2+2+1+1+1+1+1+1+1+1+1+2+1+1+1+1+2+1+3+1+2+2+1+1+2+1+2</f>
        <v>51</v>
      </c>
      <c r="D97">
        <f>1+1+1+1+0.5+1+1+1+1+2+1+1+0.5+1+1+1+1+1+2+1+1+2+1+1+1+0.5+1+2+1+2+1</f>
        <v>34.5</v>
      </c>
      <c r="E97">
        <f t="shared" si="9"/>
        <v>67.647058823529406</v>
      </c>
      <c r="F97" s="32"/>
    </row>
    <row r="98" spans="1:6" x14ac:dyDescent="0.25">
      <c r="A98" s="32"/>
      <c r="B98" t="s">
        <v>95</v>
      </c>
      <c r="C98">
        <f>2+5+2+1+1+2+3+1+1+1+1+1+2+1+1+2+2+1+1+1+1+2+1+1+1+1+1+1+1+4+2+2+1+1+1+1+1+1+2+1</f>
        <v>59</v>
      </c>
      <c r="D98">
        <f>2+2+1+1+0.5+1+1+1+1+1+1+1+1+1+1+1+1+1+1+1+1+1+1+1+1+2+1+1+1+1+2+2+1+1+1+2+1+1+1+1+1+1</f>
        <v>47.5</v>
      </c>
      <c r="E98">
        <f t="shared" si="9"/>
        <v>80.508474576271183</v>
      </c>
      <c r="F98" s="32"/>
    </row>
    <row r="99" spans="1:6" x14ac:dyDescent="0.25">
      <c r="A99" s="32"/>
      <c r="B99" t="s">
        <v>96</v>
      </c>
      <c r="C99">
        <f>1+1+1+1+1+1+1+1+1+1+1+1+1+1+1+1+1+1+1+1+1+1+1+1+1+1+1+1+1+1+1+1+1+1+1+1+1+1+1+1+1+2+1+1+1+1+2+1+2+1+1+1+1+1+1+1+1+1+1+1</f>
        <v>63</v>
      </c>
      <c r="D99">
        <f>0.5+1+3+1+1+0.5+0.5+1+1+1+1+1+1+1+1+1+2+1+1+1+1+1</f>
        <v>23.5</v>
      </c>
      <c r="E99">
        <f t="shared" si="9"/>
        <v>37.301587301587304</v>
      </c>
      <c r="F99" s="32"/>
    </row>
    <row r="100" spans="1:6" x14ac:dyDescent="0.25">
      <c r="A100" s="32"/>
      <c r="B100" t="s">
        <v>97</v>
      </c>
      <c r="C100">
        <f>3+1+1+2+2+1+1+1+1+3+1+4+2+1+2+1+1+1+4+1+2+1+1+1</f>
        <v>39</v>
      </c>
      <c r="D100">
        <f>0.5+1+1+1+0.5+1+1+1+2+1.5+0.5+1+1+2</f>
        <v>15</v>
      </c>
      <c r="E100">
        <f>D100*100/C100</f>
        <v>38.46153846153846</v>
      </c>
      <c r="F100" s="32"/>
    </row>
    <row r="101" spans="1:6" x14ac:dyDescent="0.25">
      <c r="A101" s="39" t="s">
        <v>110</v>
      </c>
      <c r="B101" t="s">
        <v>93</v>
      </c>
      <c r="C101">
        <v>24</v>
      </c>
      <c r="D101">
        <f>2+2+0.5</f>
        <v>4.5</v>
      </c>
      <c r="E101">
        <f t="shared" si="9"/>
        <v>18.75</v>
      </c>
      <c r="F101" s="39">
        <f>AVERAGE(E101:E105)</f>
        <v>19.164501306824338</v>
      </c>
    </row>
    <row r="102" spans="1:6" x14ac:dyDescent="0.25">
      <c r="A102" s="39"/>
      <c r="B102" t="s">
        <v>94</v>
      </c>
      <c r="C102">
        <f>4+1+1+2+1+1+1+1+2+2+2+1+1+1+1+1+1+1+1+1+2+1+1+1+1+2+1+3+1+2+2+1+1+2+1+2</f>
        <v>51</v>
      </c>
      <c r="D102">
        <f>0.5+1+3+2+0.5+1+0.5+0.5+1</f>
        <v>10</v>
      </c>
      <c r="E102">
        <f t="shared" si="9"/>
        <v>19.607843137254903</v>
      </c>
      <c r="F102" s="39"/>
    </row>
    <row r="103" spans="1:6" x14ac:dyDescent="0.25">
      <c r="A103" s="39"/>
      <c r="B103" t="s">
        <v>95</v>
      </c>
      <c r="C103">
        <f>2+5+2+1+1+2+3+1+1+1+1+1+2+1+1+2+2+1+1+1+1+2+1+1+1+1+1+1+1+4+2+2+1+1+1+1+1+1+2+1</f>
        <v>59</v>
      </c>
      <c r="D103">
        <f>1+1+1+2+1+1+1+0.5+1+1+1</f>
        <v>11.5</v>
      </c>
      <c r="E103">
        <f t="shared" si="9"/>
        <v>19.491525423728813</v>
      </c>
      <c r="F103" s="39"/>
    </row>
    <row r="104" spans="1:6" x14ac:dyDescent="0.25">
      <c r="A104" s="39"/>
      <c r="B104" t="s">
        <v>96</v>
      </c>
      <c r="C104">
        <f>1+1+1+1+1+1+1+1+1+1+1+1+1+1+1+1+1+1+1+1+1+1+1+1+1+1+1+1+1+1+1+1+1+1+1+1+1+1+1+1+1+2+1+1+1+1+2+1+2+1+1+1+1+1+1+1+1+1+1+1</f>
        <v>63</v>
      </c>
      <c r="D104">
        <f>4+1+1+0.5+1+0.5+1+0.5+0.5+1</f>
        <v>11</v>
      </c>
      <c r="E104">
        <f t="shared" si="9"/>
        <v>17.460317460317459</v>
      </c>
      <c r="F104" s="39"/>
    </row>
    <row r="105" spans="1:6" x14ac:dyDescent="0.25">
      <c r="A105" s="39"/>
      <c r="B105" t="s">
        <v>97</v>
      </c>
      <c r="C105">
        <f>3+1+1+2+2+1+1+1+1+3+1+4+2+1+2+1+1+1+4+1+2+1+1+1</f>
        <v>39</v>
      </c>
      <c r="D105">
        <f>0.5+0.5+1+1+1+1+1+1+1</f>
        <v>8</v>
      </c>
      <c r="E105">
        <f>D105*100/C105</f>
        <v>20.512820512820515</v>
      </c>
      <c r="F105" s="39"/>
    </row>
    <row r="106" spans="1:6" x14ac:dyDescent="0.25">
      <c r="A106" s="36" t="s">
        <v>115</v>
      </c>
      <c r="B106" t="s">
        <v>93</v>
      </c>
      <c r="C106">
        <v>24</v>
      </c>
      <c r="D106">
        <f>1+1+1+0.5+0.5+0.5</f>
        <v>4.5</v>
      </c>
      <c r="E106">
        <f t="shared" ref="E106:E109" si="10">D106*100/C106</f>
        <v>18.75</v>
      </c>
      <c r="F106" s="36">
        <f>AVERAGE(E106:E110)</f>
        <v>32.779188381132556</v>
      </c>
    </row>
    <row r="107" spans="1:6" x14ac:dyDescent="0.25">
      <c r="A107" s="36"/>
      <c r="B107" t="s">
        <v>94</v>
      </c>
      <c r="C107">
        <f>4+1+1+2+1+1+1+1+2+2+2+1+1+1+1+1+1+1+1+1+2+1+1+1+1+2+1+3+1+2+2+1+1+2+1+2</f>
        <v>51</v>
      </c>
      <c r="D107">
        <f>1+1+1+1+1+1+0.5+1+0.5+1+1+0.5+1+1+0.5+1+3+0.5+1+1+1+1+1+1+1+1+1</f>
        <v>26.5</v>
      </c>
      <c r="E107">
        <f t="shared" si="10"/>
        <v>51.96078431372549</v>
      </c>
      <c r="F107" s="36"/>
    </row>
    <row r="108" spans="1:6" x14ac:dyDescent="0.25">
      <c r="A108" s="36"/>
      <c r="B108" t="s">
        <v>95</v>
      </c>
      <c r="C108">
        <f>2+5+2+1+1+2+3+1+1+1+1+1+2+1+1+2+2+1+1+1+1+2+1+1+1+1+1+1+1+4+2+2+1+1+1+1+1+1+2+1</f>
        <v>59</v>
      </c>
      <c r="D108">
        <f>5+1+1+1+1+0.5+1+1+1+1+1+0.5+1+0.5+2+1</f>
        <v>19.5</v>
      </c>
      <c r="E108">
        <f t="shared" si="10"/>
        <v>33.050847457627121</v>
      </c>
      <c r="F108" s="36"/>
    </row>
    <row r="109" spans="1:6" x14ac:dyDescent="0.25">
      <c r="A109" s="36"/>
      <c r="B109" t="s">
        <v>96</v>
      </c>
      <c r="C109">
        <f>1+1+1+1+1+1+1+1+1+1+1+1+1+1+1+1+1+1+1+1+1+1+1+1+1+1+1+1+1+1+1+1+1+1+1+1+1+1+1+1+1+2+1+1+1+1+2+1+2+1+1+1+1+1+1+1+1+1+1+1</f>
        <v>63</v>
      </c>
      <c r="D109">
        <f>1+3+2+1+1+1+1+1+1+1+0.5+1+1+1+1+1</f>
        <v>18.5</v>
      </c>
      <c r="E109">
        <f t="shared" si="10"/>
        <v>29.365079365079364</v>
      </c>
      <c r="F109" s="36"/>
    </row>
    <row r="110" spans="1:6" x14ac:dyDescent="0.25">
      <c r="A110" s="36"/>
      <c r="B110" t="s">
        <v>97</v>
      </c>
      <c r="C110">
        <f>3+1+1+2+2+1+1+1+1+3+1+4+2+1+2+1+1+1+4+1+2+1+1+1</f>
        <v>39</v>
      </c>
      <c r="D110">
        <f>0.5+0.5+1+0.5+0.5+1+1+0.5+1+1+1+2+0.5+1</f>
        <v>12</v>
      </c>
      <c r="E110">
        <f>D110*100/C110</f>
        <v>30.76923076923077</v>
      </c>
      <c r="F110" s="36"/>
    </row>
  </sheetData>
  <mergeCells count="22">
    <mergeCell ref="A106:A110"/>
    <mergeCell ref="F106:F110"/>
    <mergeCell ref="A101:A105"/>
    <mergeCell ref="F101:F105"/>
    <mergeCell ref="A86:A90"/>
    <mergeCell ref="F86:F90"/>
    <mergeCell ref="A91:A95"/>
    <mergeCell ref="F91:F95"/>
    <mergeCell ref="A96:A100"/>
    <mergeCell ref="F96:F100"/>
    <mergeCell ref="H52:H56"/>
    <mergeCell ref="M52:M56"/>
    <mergeCell ref="H57:H61"/>
    <mergeCell ref="M57:M61"/>
    <mergeCell ref="H62:H66"/>
    <mergeCell ref="M62:M66"/>
    <mergeCell ref="A57:A61"/>
    <mergeCell ref="A52:A56"/>
    <mergeCell ref="F52:F56"/>
    <mergeCell ref="F57:F61"/>
    <mergeCell ref="A62:A66"/>
    <mergeCell ref="F62:F66"/>
  </mergeCells>
  <phoneticPr fontId="7" type="noConversion"/>
  <hyperlinks>
    <hyperlink ref="S76" r:id="rId1" xr:uid="{6B5217EF-C77B-47FC-81A6-1C78E1F07C7F}"/>
    <hyperlink ref="S75" r:id="rId2" xr:uid="{02750EE5-6BA2-4E15-9AEE-FC013E241CE2}"/>
    <hyperlink ref="S77" r:id="rId3" xr:uid="{5C33A2AA-E732-4122-AAD8-9444A1DBE8FF}"/>
    <hyperlink ref="S78" r:id="rId4" xr:uid="{57442EAE-AE8D-4E0B-8F9E-521C74FE67C0}"/>
    <hyperlink ref="A46" r:id="rId5" xr:uid="{F21F4001-0FC8-4C35-BFA6-23D414CEBB7D}"/>
    <hyperlink ref="A47" r:id="rId6" xr:uid="{DE7BB76B-C3E8-4B31-A877-08DA14C840B6}"/>
    <hyperlink ref="A48" r:id="rId7" xr:uid="{406DF048-5241-4F2C-88CC-F12DAD4490CA}"/>
    <hyperlink ref="S80" r:id="rId8" display="https://universe.roboflow.com/customdata-h6ymq/traffic-sign-detection-yolov5-o2l9p" xr:uid="{BFE8EFD1-6F6E-478D-81D3-8D2195F01784}"/>
    <hyperlink ref="S79" r:id="rId9" display="https://www.kaggle.com/datasets/ahemateja19bec1025/trafficsignlocalizationdetectionyoloannotated/data" xr:uid="{0214BF41-5936-418B-AFFC-B4010A9C4E48}"/>
    <hyperlink ref="S81" r:id="rId10" xr:uid="{601D238C-81BD-44A1-8DCE-6CA505D36102}"/>
  </hyperlinks>
  <pageMargins left="0.7" right="0.7" top="0.75" bottom="0.75" header="0.3" footer="0.3"/>
  <pageSetup orientation="portrait" r:id="rId11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1387a-ac90-432b-8a56-d4f1061298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7997C83D1094A9017416C76E02DDF" ma:contentTypeVersion="11" ma:contentTypeDescription="Create a new document." ma:contentTypeScope="" ma:versionID="e8dc3f2edb17311a31ace1330368616e">
  <xsd:schema xmlns:xsd="http://www.w3.org/2001/XMLSchema" xmlns:xs="http://www.w3.org/2001/XMLSchema" xmlns:p="http://schemas.microsoft.com/office/2006/metadata/properties" xmlns:ns3="b8a1387a-ac90-432b-8a56-d4f106129871" targetNamespace="http://schemas.microsoft.com/office/2006/metadata/properties" ma:root="true" ma:fieldsID="89391965b8b6a18a93401391d25a9d69" ns3:_="">
    <xsd:import namespace="b8a1387a-ac90-432b-8a56-d4f1061298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1387a-ac90-432b-8a56-d4f106129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E8BEFA-6CC6-4BB7-BF0F-350164A48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610C3A-DA45-4FC0-A03D-DF384A98520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b8a1387a-ac90-432b-8a56-d4f10612987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75E89C2-C335-48A4-97ED-D95319AB85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1387a-ac90-432b-8a56-d4f1061298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Aleksandrs Vaiculevičs</dc:creator>
  <cp:keywords/>
  <dc:description/>
  <cp:lastModifiedBy>Aleksandrs Vaiculevičs</cp:lastModifiedBy>
  <cp:revision/>
  <dcterms:created xsi:type="dcterms:W3CDTF">2025-03-31T11:38:37Z</dcterms:created>
  <dcterms:modified xsi:type="dcterms:W3CDTF">2025-05-23T22:13:22Z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0x010100E167997C83D1094A9017416C76E02DDF</vt:lpwstr>
  </property>
</Properties>
</file>